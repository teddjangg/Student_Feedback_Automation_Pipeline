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 Cal 오전" sheetId="1" r:id="rId5"/>
    <sheet state="visible" name="AP Cal 오후" sheetId="2" r:id="rId6"/>
    <sheet state="visible" name="AP Stat" sheetId="3" r:id="rId7"/>
    <sheet state="visible" name="AP Precal" sheetId="4" r:id="rId8"/>
  </sheets>
  <definedNames/>
  <calcPr/>
</workbook>
</file>

<file path=xl/sharedStrings.xml><?xml version="1.0" encoding="utf-8"?>
<sst xmlns="http://schemas.openxmlformats.org/spreadsheetml/2006/main" count="640" uniqueCount="83">
  <si>
    <t>AP Cal</t>
  </si>
  <si>
    <t>Homework</t>
  </si>
  <si>
    <t>HW1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</si>
  <si>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</si>
  <si>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</si>
  <si>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</si>
  <si>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</si>
  <si>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</si>
  <si>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</si>
  <si>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</si>
  <si>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</si>
  <si>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</si>
  <si>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Korean
Name</t>
  </si>
  <si>
    <t>Contacts</t>
  </si>
  <si>
    <t>School/Grade</t>
  </si>
  <si>
    <t>Avg</t>
  </si>
  <si>
    <t>HW</t>
  </si>
  <si>
    <t>Percent</t>
  </si>
  <si>
    <t>Student_A</t>
  </si>
  <si>
    <t>*</t>
  </si>
  <si>
    <t>13/14</t>
  </si>
  <si>
    <t>N/A</t>
  </si>
  <si>
    <t>13/13</t>
  </si>
  <si>
    <t>Student_B</t>
  </si>
  <si>
    <t>9.5/10</t>
  </si>
  <si>
    <t>6.5/10</t>
  </si>
  <si>
    <t>9.5/12</t>
  </si>
  <si>
    <t>Student_C</t>
  </si>
  <si>
    <t>14/14</t>
  </si>
  <si>
    <t>10.5/12</t>
  </si>
  <si>
    <t>11.5/12</t>
  </si>
  <si>
    <t>Student_D</t>
  </si>
  <si>
    <t>Student_E</t>
  </si>
  <si>
    <t>Student_F</t>
  </si>
  <si>
    <t>12.5/13</t>
  </si>
  <si>
    <t>10.5/11</t>
  </si>
  <si>
    <t>Student_G</t>
  </si>
  <si>
    <t>Student_H</t>
  </si>
  <si>
    <t>7.5/12</t>
  </si>
  <si>
    <t>Student_I</t>
  </si>
  <si>
    <t>Student_J</t>
  </si>
  <si>
    <t>8.5/10</t>
  </si>
  <si>
    <t>Student_K</t>
  </si>
  <si>
    <t>Student_L</t>
  </si>
  <si>
    <t>Student_M</t>
  </si>
  <si>
    <t>11.5/14</t>
  </si>
  <si>
    <t>Student_N</t>
  </si>
  <si>
    <t>11.5/13</t>
  </si>
  <si>
    <t>Student_O</t>
  </si>
  <si>
    <t>Student_P</t>
  </si>
  <si>
    <t>Student_Q</t>
  </si>
  <si>
    <t>8.5/13</t>
  </si>
  <si>
    <t>Student_R</t>
  </si>
  <si>
    <t>Student_S</t>
  </si>
  <si>
    <t>Student_T</t>
  </si>
  <si>
    <t>HW11</t>
  </si>
  <si>
    <t>HW12</t>
  </si>
  <si>
    <t>HW13</t>
  </si>
  <si>
    <t>13.5/14</t>
  </si>
  <si>
    <t>7.5/10</t>
  </si>
  <si>
    <t>16/16</t>
  </si>
  <si>
    <t>8.5/11</t>
  </si>
  <si>
    <t>7.5/11</t>
  </si>
  <si>
    <t>5.5/10</t>
  </si>
  <si>
    <t>13/16</t>
  </si>
  <si>
    <t>12.5/14</t>
  </si>
  <si>
    <t>15/16</t>
  </si>
  <si>
    <t>AP Stat</t>
  </si>
  <si>
    <t>AP Precal</t>
  </si>
  <si>
    <t>14.5/15</t>
  </si>
  <si>
    <t>13/15</t>
  </si>
  <si>
    <t>12.5/15</t>
  </si>
  <si>
    <t>17/19</t>
  </si>
  <si>
    <t>15/15</t>
  </si>
  <si>
    <t>13.5/15</t>
  </si>
  <si>
    <t>14/15</t>
  </si>
  <si>
    <t>19/19</t>
  </si>
  <si>
    <t>18/19</t>
  </si>
  <si>
    <t>17.5/19</t>
  </si>
  <si>
    <t>11.5/15</t>
  </si>
  <si>
    <t>10.5/15</t>
  </si>
  <si>
    <t>18.5/19</t>
  </si>
  <si>
    <t>16.5/19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</si>
</sst>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/dd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shrinkToFit="0" vertical="bottom" wrapText="1"/>
    </xf>
    <xf borderId="1" fillId="0" fontId="2" numFmtId="0" xfId="0" applyBorder="1" applyFont="1"/>
    <xf borderId="2" fillId="0" fontId="2" numFmtId="0" xfId="0" applyBorder="1" applyFont="1"/>
    <xf borderId="1" fillId="0" fontId="3" numFmtId="0" xfId="0" applyAlignment="1" applyBorder="1" applyFont="1">
      <alignment vertical="bottom"/>
    </xf>
    <xf borderId="3" fillId="0" fontId="1" numFmtId="49" xfId="0" applyAlignment="1" applyBorder="1" applyFont="1" applyNumberFormat="1">
      <alignment horizontal="center" vertical="bottom"/>
    </xf>
    <xf borderId="2" fillId="0" fontId="1" numFmtId="49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4" fillId="2" fontId="3" numFmtId="49" xfId="0" applyAlignment="1" applyBorder="1" applyFill="1" applyFont="1" applyNumberFormat="1">
      <alignment vertical="bottom"/>
    </xf>
    <xf borderId="5" fillId="2" fontId="1" numFmtId="49" xfId="0" applyAlignment="1" applyBorder="1" applyFont="1" applyNumberFormat="1">
      <alignment horizontal="center" shrinkToFit="0" vertical="bottom" wrapText="1"/>
    </xf>
    <xf borderId="0" fillId="2" fontId="1" numFmtId="49" xfId="0" applyAlignment="1" applyFont="1" applyNumberFormat="1">
      <alignment horizontal="center" shrinkToFit="0" vertical="bottom" wrapText="1"/>
    </xf>
    <xf borderId="5" fillId="0" fontId="2" numFmtId="0" xfId="0" applyBorder="1" applyFont="1"/>
    <xf borderId="5" fillId="2" fontId="1" numFmtId="49" xfId="0" applyAlignment="1" applyBorder="1" applyFont="1" applyNumberFormat="1">
      <alignment horizontal="center" readingOrder="0" shrinkToFit="0" vertical="bottom" wrapText="1"/>
    </xf>
    <xf borderId="5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readingOrder="0" vertical="bottom"/>
    </xf>
    <xf borderId="6" fillId="0" fontId="2" numFmtId="0" xfId="0" applyBorder="1" applyFont="1"/>
    <xf borderId="6" fillId="3" fontId="3" numFmtId="0" xfId="0" applyAlignment="1" applyBorder="1" applyFill="1" applyFont="1">
      <alignment vertical="bottom"/>
    </xf>
    <xf borderId="2" fillId="4" fontId="4" numFmtId="49" xfId="0" applyAlignment="1" applyBorder="1" applyFill="1" applyFont="1" applyNumberFormat="1">
      <alignment horizontal="center" readingOrder="0"/>
    </xf>
    <xf borderId="6" fillId="0" fontId="4" numFmtId="0" xfId="0" applyAlignment="1" applyBorder="1" applyFont="1">
      <alignment horizontal="center" readingOrder="0"/>
    </xf>
    <xf borderId="2" fillId="0" fontId="4" numFmtId="9" xfId="0" applyAlignment="1" applyBorder="1" applyFont="1" applyNumberFormat="1">
      <alignment horizontal="center" readingOrder="0"/>
    </xf>
    <xf borderId="2" fillId="5" fontId="1" numFmtId="0" xfId="0" applyAlignment="1" applyBorder="1" applyFill="1" applyFont="1">
      <alignment horizontal="center" readingOrder="0" vertical="bottom"/>
    </xf>
    <xf borderId="2" fillId="5" fontId="1" numFmtId="9" xfId="0" applyAlignment="1" applyBorder="1" applyFont="1" applyNumberFormat="1">
      <alignment horizontal="center" vertical="bottom"/>
    </xf>
    <xf borderId="2" fillId="5" fontId="1" numFmtId="164" xfId="0" applyAlignment="1" applyBorder="1" applyFont="1" applyNumberFormat="1">
      <alignment horizontal="center" readingOrder="0" vertical="bottom"/>
    </xf>
    <xf borderId="6" fillId="3" fontId="3" numFmtId="0" xfId="0" applyAlignment="1" applyBorder="1" applyFont="1">
      <alignment readingOrder="0" vertical="bottom"/>
    </xf>
    <xf borderId="2" fillId="0" fontId="4" numFmtId="49" xfId="0" applyAlignment="1" applyBorder="1" applyFont="1" applyNumberFormat="1">
      <alignment horizontal="center" readingOrder="0"/>
    </xf>
    <xf borderId="2" fillId="5" fontId="1" numFmtId="165" xfId="0" applyAlignment="1" applyBorder="1" applyFont="1" applyNumberFormat="1">
      <alignment horizontal="center" readingOrder="0" vertical="bottom"/>
    </xf>
    <xf borderId="2" fillId="0" fontId="4" numFmtId="0" xfId="0" applyAlignment="1" applyBorder="1" applyFont="1">
      <alignment horizontal="center" readingOrder="0"/>
    </xf>
    <xf borderId="2" fillId="6" fontId="1" numFmtId="0" xfId="0" applyAlignment="1" applyBorder="1" applyFill="1" applyFont="1">
      <alignment horizontal="center" readingOrder="0" vertical="bottom"/>
    </xf>
    <xf borderId="2" fillId="6" fontId="1" numFmtId="9" xfId="0" applyAlignment="1" applyBorder="1" applyFont="1" applyNumberFormat="1">
      <alignment horizontal="center" vertical="bottom"/>
    </xf>
    <xf borderId="2" fillId="6" fontId="1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4" numFmtId="49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 vertical="bottom"/>
    </xf>
    <xf borderId="0" fillId="4" fontId="4" numFmtId="49" xfId="0" applyAlignment="1" applyFont="1" applyNumberFormat="1">
      <alignment horizontal="center" readingOrder="0"/>
    </xf>
    <xf borderId="2" fillId="4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5.5"/>
    <col customWidth="1" min="2" max="2" width="11.13"/>
    <col customWidth="1" min="3" max="3" width="17.63"/>
    <col customWidth="1" min="4" max="4" width="12.63"/>
    <col customWidth="1" min="5" max="6" width="5.75"/>
  </cols>
  <sheetData>
    <row r="1">
      <c r="A1" s="1" t="s">
        <v>0</v>
      </c>
      <c r="B1" s="2"/>
      <c r="C1" s="2"/>
      <c r="D1" s="2"/>
      <c r="E1" s="3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3"/>
      <c r="F2" s="6"/>
      <c r="G2" s="7" t="s">
        <v>2</v>
      </c>
      <c r="H2" s="3"/>
      <c r="I2" s="7" t="s">
        <v>3</v>
      </c>
      <c r="J2" s="3"/>
      <c r="K2" s="7" t="s">
        <v>4</v>
      </c>
      <c r="L2" s="3"/>
      <c r="M2" s="7" t="s">
        <v>5</v>
      </c>
      <c r="N2" s="3"/>
      <c r="O2" s="7" t="s">
        <v>6</v>
      </c>
      <c r="P2" s="3"/>
      <c r="Q2" s="7" t="s">
        <v>7</v>
      </c>
      <c r="R2" s="3"/>
      <c r="S2" s="7" t="s">
        <v>8</v>
      </c>
      <c r="T2" s="3"/>
      <c r="U2" s="7" t="s">
        <v>9</v>
      </c>
      <c r="V2" s="3"/>
      <c r="W2" s="7" t="s">
        <v>10</v>
      </c>
      <c r="X2" s="3"/>
      <c r="Y2" s="7" t="s">
        <v>11</v>
      </c>
      <c r="Z2" s="3"/>
    </row>
    <row r="3">
      <c r="A3" s="8"/>
      <c r="B3" s="9" t="s">
        <v>12</v>
      </c>
      <c r="C3" s="9" t="s">
        <v>13</v>
      </c>
      <c r="D3" s="10" t="s">
        <v>14</v>
      </c>
      <c r="E3" s="11"/>
      <c r="F3" s="12" t="s">
        <v>15</v>
      </c>
      <c r="G3" s="13" t="s">
        <v>16</v>
      </c>
      <c r="H3" s="14" t="s">
        <v>17</v>
      </c>
      <c r="I3" s="13" t="s">
        <v>16</v>
      </c>
      <c r="J3" s="14" t="s">
        <v>17</v>
      </c>
      <c r="K3" s="13" t="s">
        <v>16</v>
      </c>
      <c r="L3" s="14" t="s">
        <v>17</v>
      </c>
      <c r="M3" s="13" t="s">
        <v>16</v>
      </c>
      <c r="N3" s="14" t="s">
        <v>17</v>
      </c>
      <c r="O3" s="13" t="s">
        <v>16</v>
      </c>
      <c r="P3" s="14" t="s">
        <v>17</v>
      </c>
      <c r="Q3" s="13" t="s">
        <v>16</v>
      </c>
      <c r="R3" s="14" t="s">
        <v>17</v>
      </c>
      <c r="S3" s="13" t="s">
        <v>16</v>
      </c>
      <c r="T3" s="14" t="s">
        <v>17</v>
      </c>
      <c r="U3" s="13" t="s">
        <v>16</v>
      </c>
      <c r="V3" s="14" t="s">
        <v>17</v>
      </c>
      <c r="W3" s="13" t="s">
        <v>16</v>
      </c>
      <c r="X3" s="14" t="s">
        <v>17</v>
      </c>
      <c r="Y3" s="13" t="s">
        <v>16</v>
      </c>
      <c r="Z3" s="14" t="s">
        <v>17</v>
      </c>
    </row>
    <row r="4">
      <c r="A4" s="15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0" customHeight="1">
      <c r="A5" s="16"/>
      <c r="B5" s="17" t="s">
        <v>18</v>
      </c>
      <c r="C5" s="18" t="s">
        <v>19</v>
      </c>
      <c r="D5" s="18" t="s">
        <v>19</v>
      </c>
      <c r="E5" s="18" t="s">
        <v>19</v>
      </c>
      <c r="F5" s="19">
        <f t="shared" ref="F5:F24" si="1">AVERAGE(H5,J5,L5,N5,P5,R5,T5,V5,X5,Z5,AB5,AD5,AF5)</f>
        <v>0.9857142857</v>
      </c>
      <c r="G5" s="20" t="s">
        <v>20</v>
      </c>
      <c r="H5" s="21">
        <f>IFERROR(__xludf.DUMMYFUNCTION("IF(G5="""","""", IF(UPPER(G5)=""N/A"",""N/A"",
 IFERROR( INDEX(SPLIT(G5,""/""),1,1) / INDEX(SPLIT(G5,""/""),1,2) , ""N/A"" )
))
"),0.9285714285714286)</f>
        <v>0.9285714286</v>
      </c>
      <c r="I5" s="22">
        <v>45940.0</v>
      </c>
      <c r="J5" s="21">
        <f>IFERROR(__xludf.DUMMYFUNCTION("IF(I5="""","""", IF(UPPER(I5)=""N/A"",""N/A"",
 IFERROR( INDEX(SPLIT(I5,""/""),1,1) / INDEX(SPLIT(I5,""/""),1,2) , ""N/A"" )
))
"),1.0)</f>
        <v>1</v>
      </c>
      <c r="K5" s="20" t="s">
        <v>21</v>
      </c>
      <c r="L5" s="21" t="str">
        <f>IFERROR(__xludf.DUMMYFUNCTION("IF(K5="""","""", IF(UPPER(K5)=""N/A"",""N/A"",
 IFERROR( INDEX(SPLIT(K5,""/""),1,1) / INDEX(SPLIT(K5,""/""),1,2) , ""N/A"" )
))
"),"N/A")</f>
        <v>N/A</v>
      </c>
      <c r="M5" s="20" t="s">
        <v>21</v>
      </c>
      <c r="N5" s="21" t="str">
        <f>IFERROR(__xludf.DUMMYFUNCTION("IF(M5="""","""", IF(UPPER(M5)=""N/A"",""N/A"",
 IFERROR( INDEX(SPLIT(M5,""/""),1,1) / INDEX(SPLIT(M5,""/""),1,2) , ""N/A"" )
))
"),"N/A")</f>
        <v>N/A</v>
      </c>
      <c r="O5" s="22">
        <v>45940.0</v>
      </c>
      <c r="P5" s="21">
        <f>IFERROR(__xludf.DUMMYFUNCTION("IF(O5="""","""", IF(UPPER(O5)=""N/A"",""N/A"",
 IFERROR( INDEX(SPLIT(O5,""/""),1,1) / INDEX(SPLIT(O5,""/""),1,2) , ""N/A"" )
))
"),1.0)</f>
        <v>1</v>
      </c>
      <c r="Q5" s="20" t="s">
        <v>21</v>
      </c>
      <c r="R5" s="21" t="str">
        <f>IFERROR(__xludf.DUMMYFUNCTION("IF(Q5="""","""", IF(UPPER(Q5)=""N/A"",""N/A"",
 IFERROR( INDEX(SPLIT(Q5,""/""),1,1) / INDEX(SPLIT(Q5,""/""),1,2) , ""N/A"" )
))
"),"N/A")</f>
        <v>N/A</v>
      </c>
      <c r="S5" s="22">
        <v>46003.0</v>
      </c>
      <c r="T5" s="21">
        <f>IFERROR(__xludf.DUMMYFUNCTION("IF(S5="""","""", IF(UPPER(S5)=""N/A"",""N/A"",
 IFERROR( INDEX(SPLIT(S5,""/""),1,1) / INDEX(SPLIT(S5,""/""),1,2) , ""N/A"" )
))
"),1.0)</f>
        <v>1</v>
      </c>
      <c r="U5" s="20" t="s">
        <v>22</v>
      </c>
      <c r="V5" s="21">
        <f>IFERROR(__xludf.DUMMYFUNCTION("IF(U5="""","""", IF(UPPER(U5)=""N/A"",""N/A"",
 IFERROR( INDEX(SPLIT(U5,""/""),1,1) / INDEX(SPLIT(U5,""/""),1,2) , ""N/A"" )
))
"),1.0)</f>
        <v>1</v>
      </c>
      <c r="W5" s="20" t="s">
        <v>21</v>
      </c>
      <c r="X5" s="21" t="str">
        <f>IFERROR(__xludf.DUMMYFUNCTION("IF(W5="""","""", IF(UPPER(W5)=""N/A"",""N/A"",
 IFERROR( INDEX(SPLIT(W5,""/""),1,1) / INDEX(SPLIT(W5,""/""),1,2) , ""N/A"" )
))
"),"N/A")</f>
        <v>N/A</v>
      </c>
      <c r="Y5" s="20" t="s">
        <v>21</v>
      </c>
      <c r="Z5" s="21" t="str">
        <f>IFERROR(__xludf.DUMMYFUNCTION("IF(Y5="""","""", IF(UPPER(Y5)=""N/A"",""N/A"",
 IFERROR( INDEX(SPLIT(Y5,""/""),1,1) / INDEX(SPLIT(Y5,""/""),1,2) , ""N/A"" )
))
"),"N/A")</f>
        <v>N/A</v>
      </c>
    </row>
    <row r="6" ht="21.0" customHeight="1">
      <c r="A6" s="23"/>
      <c r="B6" s="24" t="s">
        <v>23</v>
      </c>
      <c r="C6" s="18" t="s">
        <v>19</v>
      </c>
      <c r="D6" s="18" t="s">
        <v>19</v>
      </c>
      <c r="E6" s="18" t="s">
        <v>19</v>
      </c>
      <c r="F6" s="19">
        <f t="shared" si="1"/>
        <v>0.8302083333</v>
      </c>
      <c r="G6" s="22">
        <v>45852.0</v>
      </c>
      <c r="H6" s="21">
        <f>IFERROR(__xludf.DUMMYFUNCTION("IF(G6="""","""", IF(UPPER(G6)=""N/A"",""N/A"",
 IFERROR( INDEX(SPLIT(G6,""/""),1,1) / INDEX(SPLIT(G6,""/""),1,2) , ""N/A"" )
))
"),0.5)</f>
        <v>0.5</v>
      </c>
      <c r="I6" s="22">
        <v>45940.0</v>
      </c>
      <c r="J6" s="21">
        <f>IFERROR(__xludf.DUMMYFUNCTION("IF(I6="""","""", IF(UPPER(I6)=""N/A"",""N/A"",
 IFERROR( INDEX(SPLIT(I6,""/""),1,1) / INDEX(SPLIT(I6,""/""),1,2) , ""N/A"" )
))
"),1.0)</f>
        <v>1</v>
      </c>
      <c r="K6" s="20" t="s">
        <v>24</v>
      </c>
      <c r="L6" s="21">
        <f>IFERROR(__xludf.DUMMYFUNCTION("IF(K6="""","""", IF(UPPER(K6)=""N/A"",""N/A"",
 IFERROR( INDEX(SPLIT(K6,""/""),1,1) / INDEX(SPLIT(K6,""/""),1,2) , ""N/A"" )
))
"),0.95)</f>
        <v>0.95</v>
      </c>
      <c r="M6" s="20" t="s">
        <v>21</v>
      </c>
      <c r="N6" s="21" t="str">
        <f>IFERROR(__xludf.DUMMYFUNCTION("IF(M6="""","""", IF(UPPER(M6)=""N/A"",""N/A"",
 IFERROR( INDEX(SPLIT(M6,""/""),1,1) / INDEX(SPLIT(M6,""/""),1,2) , ""N/A"" )
))
"),"N/A")</f>
        <v>N/A</v>
      </c>
      <c r="O6" s="20" t="s">
        <v>25</v>
      </c>
      <c r="P6" s="21">
        <f>IFERROR(__xludf.DUMMYFUNCTION("IF(O6="""","""", IF(UPPER(O6)=""N/A"",""N/A"",
 IFERROR( INDEX(SPLIT(O6,""/""),1,1) / INDEX(SPLIT(O6,""/""),1,2) , ""N/A"" )
))
"),0.65)</f>
        <v>0.65</v>
      </c>
      <c r="Q6" s="20" t="s">
        <v>26</v>
      </c>
      <c r="R6" s="21">
        <f>IFERROR(__xludf.DUMMYFUNCTION("IF(Q6="""","""", IF(UPPER(Q6)=""N/A"",""N/A"",
 IFERROR( INDEX(SPLIT(Q6,""/""),1,1) / INDEX(SPLIT(Q6,""/""),1,2) , ""N/A"" )
))
"),0.7916666666666666)</f>
        <v>0.7916666667</v>
      </c>
      <c r="S6" s="22">
        <v>45912.0</v>
      </c>
      <c r="T6" s="21">
        <f>IFERROR(__xludf.DUMMYFUNCTION("IF(S6="""","""", IF(UPPER(S6)=""N/A"",""N/A"",
 IFERROR( INDEX(SPLIT(S6,""/""),1,1) / INDEX(SPLIT(S6,""/""),1,2) , ""N/A"" )
))
"),0.75)</f>
        <v>0.75</v>
      </c>
      <c r="U6" s="20" t="s">
        <v>21</v>
      </c>
      <c r="V6" s="21" t="str">
        <f>IFERROR(__xludf.DUMMYFUNCTION("IF(U6="""","""", IF(UPPER(U6)=""N/A"",""N/A"",
 IFERROR( INDEX(SPLIT(U6,""/""),1,1) / INDEX(SPLIT(U6,""/""),1,2) , ""N/A"" )
))
"),"N/A")</f>
        <v>N/A</v>
      </c>
      <c r="W6" s="22">
        <v>45972.0</v>
      </c>
      <c r="X6" s="21">
        <f>IFERROR(__xludf.DUMMYFUNCTION("IF(W6="""","""", IF(UPPER(W6)=""N/A"",""N/A"",
 IFERROR( INDEX(SPLIT(W6,""/""),1,1) / INDEX(SPLIT(W6,""/""),1,2) , ""N/A"" )
))
"),1.0)</f>
        <v>1</v>
      </c>
      <c r="Y6" s="22">
        <v>45940.0</v>
      </c>
      <c r="Z6" s="21">
        <f>IFERROR(__xludf.DUMMYFUNCTION("IF(Y6="""","""", IF(UPPER(Y6)=""N/A"",""N/A"",
 IFERROR( INDEX(SPLIT(Y6,""/""),1,1) / INDEX(SPLIT(Y6,""/""),1,2) , ""N/A"" )
))
"),1.0)</f>
        <v>1</v>
      </c>
    </row>
    <row r="7" ht="21.0" customHeight="1">
      <c r="A7" s="16"/>
      <c r="B7" s="24" t="s">
        <v>27</v>
      </c>
      <c r="C7" s="18" t="s">
        <v>19</v>
      </c>
      <c r="D7" s="18" t="s">
        <v>19</v>
      </c>
      <c r="E7" s="18" t="s">
        <v>19</v>
      </c>
      <c r="F7" s="19">
        <f t="shared" si="1"/>
        <v>0.9401515152</v>
      </c>
      <c r="G7" s="20" t="s">
        <v>28</v>
      </c>
      <c r="H7" s="21">
        <f>IFERROR(__xludf.DUMMYFUNCTION("IF(G7="""","""", IF(UPPER(G7)=""N/A"",""N/A"",
 IFERROR( INDEX(SPLIT(G7,""/""),1,1) / INDEX(SPLIT(G7,""/""),1,2) , ""N/A"" )
))
"),1.0)</f>
        <v>1</v>
      </c>
      <c r="I7" s="22">
        <v>45940.0</v>
      </c>
      <c r="J7" s="21">
        <f>IFERROR(__xludf.DUMMYFUNCTION("IF(I7="""","""", IF(UPPER(I7)=""N/A"",""N/A"",
 IFERROR( INDEX(SPLIT(I7,""/""),1,1) / INDEX(SPLIT(I7,""/""),1,2) , ""N/A"" )
))
"),1.0)</f>
        <v>1</v>
      </c>
      <c r="K7" s="20" t="s">
        <v>24</v>
      </c>
      <c r="L7" s="21">
        <f>IFERROR(__xludf.DUMMYFUNCTION("IF(K7="""","""", IF(UPPER(K7)=""N/A"",""N/A"",
 IFERROR( INDEX(SPLIT(K7,""/""),1,1) / INDEX(SPLIT(K7,""/""),1,2) , ""N/A"" )
))
"),0.95)</f>
        <v>0.95</v>
      </c>
      <c r="M7" s="20" t="s">
        <v>29</v>
      </c>
      <c r="N7" s="21">
        <f>IFERROR(__xludf.DUMMYFUNCTION("IF(M7="""","""", IF(UPPER(M7)=""N/A"",""N/A"",
 IFERROR( INDEX(SPLIT(M7,""/""),1,1) / INDEX(SPLIT(M7,""/""),1,2) , ""N/A"" )
))
"),0.875)</f>
        <v>0.875</v>
      </c>
      <c r="O7" s="22">
        <v>45879.0</v>
      </c>
      <c r="P7" s="21">
        <f>IFERROR(__xludf.DUMMYFUNCTION("IF(O7="""","""", IF(UPPER(O7)=""N/A"",""N/A"",
 IFERROR( INDEX(SPLIT(O7,""/""),1,1) / INDEX(SPLIT(O7,""/""),1,2) , ""N/A"" )
))
"),0.8)</f>
        <v>0.8</v>
      </c>
      <c r="Q7" s="20" t="s">
        <v>30</v>
      </c>
      <c r="R7" s="21">
        <f>IFERROR(__xludf.DUMMYFUNCTION("IF(Q7="""","""", IF(UPPER(Q7)=""N/A"",""N/A"",
 IFERROR( INDEX(SPLIT(Q7,""/""),1,1) / INDEX(SPLIT(Q7,""/""),1,2) , ""N/A"" )
))
"),0.9583333333333334)</f>
        <v>0.9583333333</v>
      </c>
      <c r="S7" s="22">
        <v>46003.0</v>
      </c>
      <c r="T7" s="21">
        <f>IFERROR(__xludf.DUMMYFUNCTION("IF(S7="""","""", IF(UPPER(S7)=""N/A"",""N/A"",
 IFERROR( INDEX(SPLIT(S7,""/""),1,1) / INDEX(SPLIT(S7,""/""),1,2) , ""N/A"" )
))
"),1.0)</f>
        <v>1</v>
      </c>
      <c r="U7" s="20" t="s">
        <v>22</v>
      </c>
      <c r="V7" s="21">
        <f>IFERROR(__xludf.DUMMYFUNCTION("IF(U7="""","""", IF(UPPER(U7)=""N/A"",""N/A"",
 IFERROR( INDEX(SPLIT(U7,""/""),1,1) / INDEX(SPLIT(U7,""/""),1,2) , ""N/A"" )
))
"),1.0)</f>
        <v>1</v>
      </c>
      <c r="W7" s="22">
        <v>45911.0</v>
      </c>
      <c r="X7" s="21">
        <f>IFERROR(__xludf.DUMMYFUNCTION("IF(W7="""","""", IF(UPPER(W7)=""N/A"",""N/A"",
 IFERROR( INDEX(SPLIT(W7,""/""),1,1) / INDEX(SPLIT(W7,""/""),1,2) , ""N/A"" )
))
"),0.8181818181818182)</f>
        <v>0.8181818182</v>
      </c>
      <c r="Y7" s="22">
        <v>45940.0</v>
      </c>
      <c r="Z7" s="21">
        <f>IFERROR(__xludf.DUMMYFUNCTION("IF(Y7="""","""", IF(UPPER(Y7)=""N/A"",""N/A"",
 IFERROR( INDEX(SPLIT(Y7,""/""),1,1) / INDEX(SPLIT(Y7,""/""),1,2) , ""N/A"" )
))
"),1.0)</f>
        <v>1</v>
      </c>
    </row>
    <row r="8" ht="21.0" customHeight="1">
      <c r="A8" s="16"/>
      <c r="B8" s="17" t="s">
        <v>31</v>
      </c>
      <c r="C8" s="18" t="s">
        <v>19</v>
      </c>
      <c r="D8" s="18" t="s">
        <v>19</v>
      </c>
      <c r="E8" s="18" t="s">
        <v>19</v>
      </c>
      <c r="F8" s="19">
        <f t="shared" si="1"/>
        <v>1</v>
      </c>
      <c r="G8" s="20" t="s">
        <v>28</v>
      </c>
      <c r="H8" s="21">
        <f>IFERROR(__xludf.DUMMYFUNCTION("IF(G8="""","""", IF(UPPER(G8)=""N/A"",""N/A"",
 IFERROR( INDEX(SPLIT(G8,""/""),1,1) / INDEX(SPLIT(G8,""/""),1,2) , ""N/A"" )
))
"),1.0)</f>
        <v>1</v>
      </c>
      <c r="I8" s="20" t="s">
        <v>21</v>
      </c>
      <c r="J8" s="21" t="str">
        <f>IFERROR(__xludf.DUMMYFUNCTION("IF(I8="""","""", IF(UPPER(I8)=""N/A"",""N/A"",
 IFERROR( INDEX(SPLIT(I8,""/""),1,1) / INDEX(SPLIT(I8,""/""),1,2) , ""N/A"" )
))
"),"N/A")</f>
        <v>N/A</v>
      </c>
      <c r="K8" s="20" t="s">
        <v>21</v>
      </c>
      <c r="L8" s="21" t="str">
        <f>IFERROR(__xludf.DUMMYFUNCTION("IF(K8="""","""", IF(UPPER(K8)=""N/A"",""N/A"",
 IFERROR( INDEX(SPLIT(K8,""/""),1,1) / INDEX(SPLIT(K8,""/""),1,2) , ""N/A"" )
))
"),"N/A")</f>
        <v>N/A</v>
      </c>
      <c r="M8" s="20" t="s">
        <v>21</v>
      </c>
      <c r="N8" s="21" t="str">
        <f>IFERROR(__xludf.DUMMYFUNCTION("IF(M8="""","""", IF(UPPER(M8)=""N/A"",""N/A"",
 IFERROR( INDEX(SPLIT(M8,""/""),1,1) / INDEX(SPLIT(M8,""/""),1,2) , ""N/A"" )
))
"),"N/A")</f>
        <v>N/A</v>
      </c>
      <c r="O8" s="20" t="s">
        <v>21</v>
      </c>
      <c r="P8" s="21" t="str">
        <f>IFERROR(__xludf.DUMMYFUNCTION("IF(O8="""","""", IF(UPPER(O8)=""N/A"",""N/A"",
 IFERROR( INDEX(SPLIT(O8,""/""),1,1) / INDEX(SPLIT(O8,""/""),1,2) , ""N/A"" )
))
"),"N/A")</f>
        <v>N/A</v>
      </c>
      <c r="Q8" s="20" t="s">
        <v>21</v>
      </c>
      <c r="R8" s="21" t="str">
        <f>IFERROR(__xludf.DUMMYFUNCTION("IF(Q8="""","""", IF(UPPER(Q8)=""N/A"",""N/A"",
 IFERROR( INDEX(SPLIT(Q8,""/""),1,1) / INDEX(SPLIT(Q8,""/""),1,2) , ""N/A"" )
))
"),"N/A")</f>
        <v>N/A</v>
      </c>
      <c r="S8" s="20" t="s">
        <v>21</v>
      </c>
      <c r="T8" s="21" t="str">
        <f>IFERROR(__xludf.DUMMYFUNCTION("IF(S8="""","""", IF(UPPER(S8)=""N/A"",""N/A"",
 IFERROR( INDEX(SPLIT(S8,""/""),1,1) / INDEX(SPLIT(S8,""/""),1,2) , ""N/A"" )
))
"),"N/A")</f>
        <v>N/A</v>
      </c>
      <c r="U8" s="20" t="s">
        <v>21</v>
      </c>
      <c r="V8" s="21" t="str">
        <f>IFERROR(__xludf.DUMMYFUNCTION("IF(U8="""","""", IF(UPPER(U8)=""N/A"",""N/A"",
 IFERROR( INDEX(SPLIT(U8,""/""),1,1) / INDEX(SPLIT(U8,""/""),1,2) , ""N/A"" )
))
"),"N/A")</f>
        <v>N/A</v>
      </c>
      <c r="W8" s="20" t="s">
        <v>21</v>
      </c>
      <c r="X8" s="21" t="str">
        <f>IFERROR(__xludf.DUMMYFUNCTION("IF(W8="""","""", IF(UPPER(W8)=""N/A"",""N/A"",
 IFERROR( INDEX(SPLIT(W8,""/""),1,1) / INDEX(SPLIT(W8,""/""),1,2) , ""N/A"" )
))
"),"N/A")</f>
        <v>N/A</v>
      </c>
      <c r="Y8" s="20" t="s">
        <v>21</v>
      </c>
      <c r="Z8" s="21" t="str">
        <f>IFERROR(__xludf.DUMMYFUNCTION("IF(Y8="""","""", IF(UPPER(Y8)=""N/A"",""N/A"",
 IFERROR( INDEX(SPLIT(Y8,""/""),1,1) / INDEX(SPLIT(Y8,""/""),1,2) , ""N/A"" )
))
"),"N/A")</f>
        <v>N/A</v>
      </c>
    </row>
    <row r="9" ht="21.0" customHeight="1">
      <c r="A9" s="16"/>
      <c r="B9" s="17" t="s">
        <v>32</v>
      </c>
      <c r="C9" s="18" t="s">
        <v>19</v>
      </c>
      <c r="D9" s="18" t="s">
        <v>19</v>
      </c>
      <c r="E9" s="18" t="s">
        <v>19</v>
      </c>
      <c r="F9" s="19">
        <f t="shared" si="1"/>
        <v>0.9908333333</v>
      </c>
      <c r="G9" s="20" t="s">
        <v>28</v>
      </c>
      <c r="H9" s="21">
        <f>IFERROR(__xludf.DUMMYFUNCTION("IF(G9="""","""", IF(UPPER(G9)=""N/A"",""N/A"",
 IFERROR( INDEX(SPLIT(G9,""/""),1,1) / INDEX(SPLIT(G9,""/""),1,2) , ""N/A"" )
))
"),1.0)</f>
        <v>1</v>
      </c>
      <c r="I9" s="22">
        <v>45940.0</v>
      </c>
      <c r="J9" s="21">
        <f>IFERROR(__xludf.DUMMYFUNCTION("IF(I9="""","""", IF(UPPER(I9)=""N/A"",""N/A"",
 IFERROR( INDEX(SPLIT(I9,""/""),1,1) / INDEX(SPLIT(I9,""/""),1,2) , ""N/A"" )
))
"),1.0)</f>
        <v>1</v>
      </c>
      <c r="K9" s="20" t="s">
        <v>24</v>
      </c>
      <c r="L9" s="21">
        <f>IFERROR(__xludf.DUMMYFUNCTION("IF(K9="""","""", IF(UPPER(K9)=""N/A"",""N/A"",
 IFERROR( INDEX(SPLIT(K9,""/""),1,1) / INDEX(SPLIT(K9,""/""),1,2) , ""N/A"" )
))
"),0.95)</f>
        <v>0.95</v>
      </c>
      <c r="M9" s="20" t="s">
        <v>30</v>
      </c>
      <c r="N9" s="21">
        <f>IFERROR(__xludf.DUMMYFUNCTION("IF(M9="""","""", IF(UPPER(M9)=""N/A"",""N/A"",
 IFERROR( INDEX(SPLIT(M9,""/""),1,1) / INDEX(SPLIT(M9,""/""),1,2) , ""N/A"" )
))
"),0.9583333333333334)</f>
        <v>0.9583333333</v>
      </c>
      <c r="O9" s="22">
        <v>45940.0</v>
      </c>
      <c r="P9" s="21">
        <f>IFERROR(__xludf.DUMMYFUNCTION("IF(O9="""","""", IF(UPPER(O9)=""N/A"",""N/A"",
 IFERROR( INDEX(SPLIT(O9,""/""),1,1) / INDEX(SPLIT(O9,""/""),1,2) , ""N/A"" )
))
"),1.0)</f>
        <v>1</v>
      </c>
      <c r="Q9" s="22">
        <v>46003.0</v>
      </c>
      <c r="R9" s="21">
        <f>IFERROR(__xludf.DUMMYFUNCTION("IF(Q9="""","""", IF(UPPER(Q9)=""N/A"",""N/A"",
 IFERROR( INDEX(SPLIT(Q9,""/""),1,1) / INDEX(SPLIT(Q9,""/""),1,2) , ""N/A"" )
))
"),1.0)</f>
        <v>1</v>
      </c>
      <c r="S9" s="22">
        <v>46003.0</v>
      </c>
      <c r="T9" s="21">
        <f>IFERROR(__xludf.DUMMYFUNCTION("IF(S9="""","""", IF(UPPER(S9)=""N/A"",""N/A"",
 IFERROR( INDEX(SPLIT(S9,""/""),1,1) / INDEX(SPLIT(S9,""/""),1,2) , ""N/A"" )
))
"),1.0)</f>
        <v>1</v>
      </c>
      <c r="U9" s="20" t="s">
        <v>22</v>
      </c>
      <c r="V9" s="21">
        <f>IFERROR(__xludf.DUMMYFUNCTION("IF(U9="""","""", IF(UPPER(U9)=""N/A"",""N/A"",
 IFERROR( INDEX(SPLIT(U9,""/""),1,1) / INDEX(SPLIT(U9,""/""),1,2) , ""N/A"" )
))
"),1.0)</f>
        <v>1</v>
      </c>
      <c r="W9" s="22">
        <v>45972.0</v>
      </c>
      <c r="X9" s="21">
        <f>IFERROR(__xludf.DUMMYFUNCTION("IF(W9="""","""", IF(UPPER(W9)=""N/A"",""N/A"",
 IFERROR( INDEX(SPLIT(W9,""/""),1,1) / INDEX(SPLIT(W9,""/""),1,2) , ""N/A"" )
))
"),1.0)</f>
        <v>1</v>
      </c>
      <c r="Y9" s="22">
        <v>45940.0</v>
      </c>
      <c r="Z9" s="21">
        <f>IFERROR(__xludf.DUMMYFUNCTION("IF(Y9="""","""", IF(UPPER(Y9)=""N/A"",""N/A"",
 IFERROR( INDEX(SPLIT(Y9,""/""),1,1) / INDEX(SPLIT(Y9,""/""),1,2) , ""N/A"" )
))
"),1.0)</f>
        <v>1</v>
      </c>
    </row>
    <row r="10" ht="21.0" customHeight="1">
      <c r="A10" s="16"/>
      <c r="B10" s="24" t="s">
        <v>33</v>
      </c>
      <c r="C10" s="18" t="s">
        <v>19</v>
      </c>
      <c r="D10" s="18" t="s">
        <v>19</v>
      </c>
      <c r="E10" s="18" t="s">
        <v>19</v>
      </c>
      <c r="F10" s="19">
        <f t="shared" si="1"/>
        <v>0.9303962704</v>
      </c>
      <c r="G10" s="20" t="s">
        <v>28</v>
      </c>
      <c r="H10" s="21">
        <f>IFERROR(__xludf.DUMMYFUNCTION("IF(G10="""","""", IF(UPPER(G10)=""N/A"",""N/A"",
 IFERROR( INDEX(SPLIT(G10,""/""),1,1) / INDEX(SPLIT(G10,""/""),1,2) , ""N/A"" )
))
"),1.0)</f>
        <v>1</v>
      </c>
      <c r="I10" s="22">
        <v>45848.0</v>
      </c>
      <c r="J10" s="21">
        <f>IFERROR(__xludf.DUMMYFUNCTION("IF(I10="""","""", IF(UPPER(I10)=""N/A"",""N/A"",
 IFERROR( INDEX(SPLIT(I10,""/""),1,1) / INDEX(SPLIT(I10,""/""),1,2) , ""N/A"" )
))
"),0.7)</f>
        <v>0.7</v>
      </c>
      <c r="K10" s="22">
        <v>45910.0</v>
      </c>
      <c r="L10" s="21">
        <f>IFERROR(__xludf.DUMMYFUNCTION("IF(K10="""","""", IF(UPPER(K10)=""N/A"",""N/A"",
 IFERROR( INDEX(SPLIT(K10,""/""),1,1) / INDEX(SPLIT(K10,""/""),1,2) , ""N/A"" )
))
"),0.9)</f>
        <v>0.9</v>
      </c>
      <c r="M10" s="22">
        <v>45973.0</v>
      </c>
      <c r="N10" s="21">
        <f>IFERROR(__xludf.DUMMYFUNCTION("IF(M10="""","""", IF(UPPER(M10)=""N/A"",""N/A"",
 IFERROR( INDEX(SPLIT(M10,""/""),1,1) / INDEX(SPLIT(M10,""/""),1,2) , ""N/A"" )
))
"),0.9166666666666666)</f>
        <v>0.9166666667</v>
      </c>
      <c r="O10" s="25">
        <v>45940.0</v>
      </c>
      <c r="P10" s="21">
        <f>IFERROR(__xludf.DUMMYFUNCTION("IF(O10="""","""", IF(UPPER(O10)=""N/A"",""N/A"",
 IFERROR( INDEX(SPLIT(O10,""/""),1,1) / INDEX(SPLIT(O10,""/""),1,2) , ""N/A"" )
))
"),1.0)</f>
        <v>1</v>
      </c>
      <c r="Q10" s="22">
        <v>46003.0</v>
      </c>
      <c r="R10" s="21">
        <f>IFERROR(__xludf.DUMMYFUNCTION("IF(Q10="""","""", IF(UPPER(Q10)=""N/A"",""N/A"",
 IFERROR( INDEX(SPLIT(Q10,""/""),1,1) / INDEX(SPLIT(Q10,""/""),1,2) , ""N/A"" )
))
"),1.0)</f>
        <v>1</v>
      </c>
      <c r="S10" s="22">
        <v>45973.0</v>
      </c>
      <c r="T10" s="21">
        <f>IFERROR(__xludf.DUMMYFUNCTION("IF(S10="""","""", IF(UPPER(S10)=""N/A"",""N/A"",
 IFERROR( INDEX(SPLIT(S10,""/""),1,1) / INDEX(SPLIT(S10,""/""),1,2) , ""N/A"" )
))
"),0.9166666666666666)</f>
        <v>0.9166666667</v>
      </c>
      <c r="U10" s="20" t="s">
        <v>34</v>
      </c>
      <c r="V10" s="21">
        <f>IFERROR(__xludf.DUMMYFUNCTION("IF(U10="""","""", IF(UPPER(U10)=""N/A"",""N/A"",
 IFERROR( INDEX(SPLIT(U10,""/""),1,1) / INDEX(SPLIT(U10,""/""),1,2) , ""N/A"" )
))
"),0.9615384615384616)</f>
        <v>0.9615384615</v>
      </c>
      <c r="W10" s="20" t="s">
        <v>35</v>
      </c>
      <c r="X10" s="21">
        <f>IFERROR(__xludf.DUMMYFUNCTION("IF(W10="""","""", IF(UPPER(W10)=""N/A"",""N/A"",
 IFERROR( INDEX(SPLIT(W10,""/""),1,1) / INDEX(SPLIT(W10,""/""),1,2) , ""N/A"" )
))
"),0.9545454545454546)</f>
        <v>0.9545454545</v>
      </c>
      <c r="Y10" s="20" t="s">
        <v>35</v>
      </c>
      <c r="Z10" s="21">
        <f>IFERROR(__xludf.DUMMYFUNCTION("IF(Y10="""","""", IF(UPPER(Y10)=""N/A"",""N/A"",
 IFERROR( INDEX(SPLIT(Y10,""/""),1,1) / INDEX(SPLIT(Y10,""/""),1,2) , ""N/A"" )
))
"),0.9545454545454546)</f>
        <v>0.9545454545</v>
      </c>
    </row>
    <row r="11" ht="21.0" customHeight="1">
      <c r="A11" s="16"/>
      <c r="B11" s="24" t="s">
        <v>36</v>
      </c>
      <c r="C11" s="18" t="s">
        <v>19</v>
      </c>
      <c r="D11" s="18" t="s">
        <v>19</v>
      </c>
      <c r="E11" s="18" t="s">
        <v>19</v>
      </c>
      <c r="F11" s="26" t="str">
        <f t="shared" si="1"/>
        <v>#DIV/0!</v>
      </c>
      <c r="G11" s="20" t="s">
        <v>21</v>
      </c>
      <c r="H11" s="21" t="str">
        <f>IFERROR(__xludf.DUMMYFUNCTION("IF(G11="""","""", IF(UPPER(G11)=""N/A"",""N/A"",
 IFERROR( INDEX(SPLIT(G11,""/""),1,1) / INDEX(SPLIT(G11,""/""),1,2) , ""N/A"" )
))
"),"N/A")</f>
        <v>N/A</v>
      </c>
      <c r="I11" s="20" t="s">
        <v>21</v>
      </c>
      <c r="J11" s="21" t="str">
        <f>IFERROR(__xludf.DUMMYFUNCTION("IF(I11="""","""", IF(UPPER(I11)=""N/A"",""N/A"",
 IFERROR( INDEX(SPLIT(I11,""/""),1,1) / INDEX(SPLIT(I11,""/""),1,2) , ""N/A"" )
))
"),"N/A")</f>
        <v>N/A</v>
      </c>
      <c r="K11" s="20" t="s">
        <v>21</v>
      </c>
      <c r="L11" s="21" t="str">
        <f>IFERROR(__xludf.DUMMYFUNCTION("IF(K11="""","""", IF(UPPER(K11)=""N/A"",""N/A"",
 IFERROR( INDEX(SPLIT(K11,""/""),1,1) / INDEX(SPLIT(K11,""/""),1,2) , ""N/A"" )
))
"),"N/A")</f>
        <v>N/A</v>
      </c>
      <c r="M11" s="20" t="s">
        <v>21</v>
      </c>
      <c r="N11" s="21" t="str">
        <f>IFERROR(__xludf.DUMMYFUNCTION("IF(M11="""","""", IF(UPPER(M11)=""N/A"",""N/A"",
 IFERROR( INDEX(SPLIT(M11,""/""),1,1) / INDEX(SPLIT(M11,""/""),1,2) , ""N/A"" )
))
"),"N/A")</f>
        <v>N/A</v>
      </c>
      <c r="O11" s="20" t="s">
        <v>21</v>
      </c>
      <c r="P11" s="21" t="str">
        <f>IFERROR(__xludf.DUMMYFUNCTION("IF(O11="""","""", IF(UPPER(O11)=""N/A"",""N/A"",
 IFERROR( INDEX(SPLIT(O11,""/""),1,1) / INDEX(SPLIT(O11,""/""),1,2) , ""N/A"" )
))
"),"N/A")</f>
        <v>N/A</v>
      </c>
      <c r="Q11" s="20" t="s">
        <v>21</v>
      </c>
      <c r="R11" s="21" t="str">
        <f>IFERROR(__xludf.DUMMYFUNCTION("IF(Q11="""","""", IF(UPPER(Q11)=""N/A"",""N/A"",
 IFERROR( INDEX(SPLIT(Q11,""/""),1,1) / INDEX(SPLIT(Q11,""/""),1,2) , ""N/A"" )
))
"),"N/A")</f>
        <v>N/A</v>
      </c>
      <c r="S11" s="20" t="s">
        <v>21</v>
      </c>
      <c r="T11" s="21" t="str">
        <f>IFERROR(__xludf.DUMMYFUNCTION("IF(S11="""","""", IF(UPPER(S11)=""N/A"",""N/A"",
 IFERROR( INDEX(SPLIT(S11,""/""),1,1) / INDEX(SPLIT(S11,""/""),1,2) , ""N/A"" )
))
"),"N/A")</f>
        <v>N/A</v>
      </c>
      <c r="U11" s="20" t="s">
        <v>21</v>
      </c>
      <c r="V11" s="21" t="str">
        <f>IFERROR(__xludf.DUMMYFUNCTION("IF(U11="""","""", IF(UPPER(U11)=""N/A"",""N/A"",
 IFERROR( INDEX(SPLIT(U11,""/""),1,1) / INDEX(SPLIT(U11,""/""),1,2) , ""N/A"" )
))
"),"N/A")</f>
        <v>N/A</v>
      </c>
      <c r="W11" s="20" t="s">
        <v>21</v>
      </c>
      <c r="X11" s="21" t="str">
        <f>IFERROR(__xludf.DUMMYFUNCTION("IF(W11="""","""", IF(UPPER(W11)=""N/A"",""N/A"",
 IFERROR( INDEX(SPLIT(W11,""/""),1,1) / INDEX(SPLIT(W11,""/""),1,2) , ""N/A"" )
))
"),"N/A")</f>
        <v>N/A</v>
      </c>
      <c r="Y11" s="20" t="s">
        <v>21</v>
      </c>
      <c r="Z11" s="21" t="str">
        <f>IFERROR(__xludf.DUMMYFUNCTION("IF(Y11="""","""", IF(UPPER(Y11)=""N/A"",""N/A"",
 IFERROR( INDEX(SPLIT(Y11,""/""),1,1) / INDEX(SPLIT(Y11,""/""),1,2) , ""N/A"" )
))
"),"N/A")</f>
        <v>N/A</v>
      </c>
    </row>
    <row r="12" ht="21.0" customHeight="1">
      <c r="A12" s="16"/>
      <c r="B12" s="17" t="s">
        <v>37</v>
      </c>
      <c r="C12" s="18" t="s">
        <v>19</v>
      </c>
      <c r="D12" s="18" t="s">
        <v>19</v>
      </c>
      <c r="E12" s="18" t="s">
        <v>19</v>
      </c>
      <c r="F12" s="19">
        <f t="shared" si="1"/>
        <v>0.8178571429</v>
      </c>
      <c r="G12" s="20" t="s">
        <v>20</v>
      </c>
      <c r="H12" s="21">
        <f>IFERROR(__xludf.DUMMYFUNCTION("IF(G12="""","""", IF(UPPER(G12)=""N/A"",""N/A"",
 IFERROR( INDEX(SPLIT(G12,""/""),1,1) / INDEX(SPLIT(G12,""/""),1,2) , ""N/A"" )
))
"),0.9285714285714286)</f>
        <v>0.9285714286</v>
      </c>
      <c r="I12" s="20" t="s">
        <v>21</v>
      </c>
      <c r="J12" s="21" t="str">
        <f>IFERROR(__xludf.DUMMYFUNCTION("IF(I12="""","""", IF(UPPER(I12)=""N/A"",""N/A"",
 IFERROR( INDEX(SPLIT(I12,""/""),1,1) / INDEX(SPLIT(I12,""/""),1,2) , ""N/A"" )
))
"),"N/A")</f>
        <v>N/A</v>
      </c>
      <c r="K12" s="20" t="s">
        <v>21</v>
      </c>
      <c r="L12" s="21" t="str">
        <f>IFERROR(__xludf.DUMMYFUNCTION("IF(K12="""","""", IF(UPPER(K12)=""N/A"",""N/A"",
 IFERROR( INDEX(SPLIT(K12,""/""),1,1) / INDEX(SPLIT(K12,""/""),1,2) , ""N/A"" )
))
"),"N/A")</f>
        <v>N/A</v>
      </c>
      <c r="M12" s="20" t="s">
        <v>21</v>
      </c>
      <c r="N12" s="21" t="str">
        <f>IFERROR(__xludf.DUMMYFUNCTION("IF(M12="""","""", IF(UPPER(M12)=""N/A"",""N/A"",
 IFERROR( INDEX(SPLIT(M12,""/""),1,1) / INDEX(SPLIT(M12,""/""),1,2) , ""N/A"" )
))
"),"N/A")</f>
        <v>N/A</v>
      </c>
      <c r="O12" s="22">
        <v>45910.0</v>
      </c>
      <c r="P12" s="21">
        <f>IFERROR(__xludf.DUMMYFUNCTION("IF(O12="""","""", IF(UPPER(O12)=""N/A"",""N/A"",
 IFERROR( INDEX(SPLIT(O12,""/""),1,1) / INDEX(SPLIT(O12,""/""),1,2) , ""N/A"" )
))
"),0.9)</f>
        <v>0.9</v>
      </c>
      <c r="Q12" s="20" t="s">
        <v>21</v>
      </c>
      <c r="R12" s="21" t="str">
        <f>IFERROR(__xludf.DUMMYFUNCTION("IF(Q12="""","""", IF(UPPER(Q12)=""N/A"",""N/A"",
 IFERROR( INDEX(SPLIT(Q12,""/""),1,1) / INDEX(SPLIT(Q12,""/""),1,2) , ""N/A"" )
))
"),"N/A")</f>
        <v>N/A</v>
      </c>
      <c r="S12" s="20" t="s">
        <v>38</v>
      </c>
      <c r="T12" s="21">
        <f>IFERROR(__xludf.DUMMYFUNCTION("IF(S12="""","""", IF(UPPER(S12)=""N/A"",""N/A"",
 IFERROR( INDEX(SPLIT(S12,""/""),1,1) / INDEX(SPLIT(S12,""/""),1,2) , ""N/A"" )
))
"),0.625)</f>
        <v>0.625</v>
      </c>
      <c r="U12" s="20" t="s">
        <v>21</v>
      </c>
      <c r="V12" s="21" t="str">
        <f>IFERROR(__xludf.DUMMYFUNCTION("IF(U12="""","""", IF(UPPER(U12)=""N/A"",""N/A"",
 IFERROR( INDEX(SPLIT(U12,""/""),1,1) / INDEX(SPLIT(U12,""/""),1,2) , ""N/A"" )
))
"),"N/A")</f>
        <v>N/A</v>
      </c>
      <c r="W12" s="20" t="s">
        <v>21</v>
      </c>
      <c r="X12" s="21" t="str">
        <f>IFERROR(__xludf.DUMMYFUNCTION("IF(W12="""","""", IF(UPPER(W12)=""N/A"",""N/A"",
 IFERROR( INDEX(SPLIT(W12,""/""),1,1) / INDEX(SPLIT(W12,""/""),1,2) , ""N/A"" )
))
"),"N/A")</f>
        <v>N/A</v>
      </c>
      <c r="Y12" s="20" t="s">
        <v>21</v>
      </c>
      <c r="Z12" s="21" t="str">
        <f>IFERROR(__xludf.DUMMYFUNCTION("IF(Y12="""","""", IF(UPPER(Y12)=""N/A"",""N/A"",
 IFERROR( INDEX(SPLIT(Y12,""/""),1,1) / INDEX(SPLIT(Y12,""/""),1,2) , ""N/A"" )
))
"),"N/A")</f>
        <v>N/A</v>
      </c>
    </row>
    <row r="13" ht="21.0" customHeight="1">
      <c r="A13" s="16"/>
      <c r="B13" s="17" t="s">
        <v>39</v>
      </c>
      <c r="C13" s="18" t="s">
        <v>19</v>
      </c>
      <c r="D13" s="18" t="s">
        <v>19</v>
      </c>
      <c r="E13" s="18" t="s">
        <v>19</v>
      </c>
      <c r="F13" s="19">
        <f t="shared" si="1"/>
        <v>0.99375</v>
      </c>
      <c r="G13" s="20" t="s">
        <v>28</v>
      </c>
      <c r="H13" s="21">
        <f>IFERROR(__xludf.DUMMYFUNCTION("IF(G13="""","""", IF(UPPER(G13)=""N/A"",""N/A"",
 IFERROR( INDEX(SPLIT(G13,""/""),1,1) / INDEX(SPLIT(G13,""/""),1,2) , ""N/A"" )
))
"),1.0)</f>
        <v>1</v>
      </c>
      <c r="I13" s="22">
        <v>45940.0</v>
      </c>
      <c r="J13" s="21">
        <f>IFERROR(__xludf.DUMMYFUNCTION("IF(I13="""","""", IF(UPPER(I13)=""N/A"",""N/A"",
 IFERROR( INDEX(SPLIT(I13,""/""),1,1) / INDEX(SPLIT(I13,""/""),1,2) , ""N/A"" )
))
"),1.0)</f>
        <v>1</v>
      </c>
      <c r="K13" s="20" t="s">
        <v>24</v>
      </c>
      <c r="L13" s="21">
        <f>IFERROR(__xludf.DUMMYFUNCTION("IF(K13="""","""", IF(UPPER(K13)=""N/A"",""N/A"",
 IFERROR( INDEX(SPLIT(K13,""/""),1,1) / INDEX(SPLIT(K13,""/""),1,2) , ""N/A"" )
))
"),0.95)</f>
        <v>0.95</v>
      </c>
      <c r="M13" s="22">
        <v>46003.0</v>
      </c>
      <c r="N13" s="21">
        <f>IFERROR(__xludf.DUMMYFUNCTION("IF(M13="""","""", IF(UPPER(M13)=""N/A"",""N/A"",
 IFERROR( INDEX(SPLIT(M13,""/""),1,1) / INDEX(SPLIT(M13,""/""),1,2) , ""N/A"" )
))
"),1.0)</f>
        <v>1</v>
      </c>
      <c r="O13" s="22">
        <v>45940.0</v>
      </c>
      <c r="P13" s="21">
        <f>IFERROR(__xludf.DUMMYFUNCTION("IF(O13="""","""", IF(UPPER(O13)=""N/A"",""N/A"",
 IFERROR( INDEX(SPLIT(O13,""/""),1,1) / INDEX(SPLIT(O13,""/""),1,2) , ""N/A"" )
))
"),1.0)</f>
        <v>1</v>
      </c>
      <c r="Q13" s="22">
        <v>46003.0</v>
      </c>
      <c r="R13" s="21">
        <f>IFERROR(__xludf.DUMMYFUNCTION("IF(Q13="""","""", IF(UPPER(Q13)=""N/A"",""N/A"",
 IFERROR( INDEX(SPLIT(Q13,""/""),1,1) / INDEX(SPLIT(Q13,""/""),1,2) , ""N/A"" )
))
"),1.0)</f>
        <v>1</v>
      </c>
      <c r="S13" s="22">
        <v>46003.0</v>
      </c>
      <c r="T13" s="21">
        <f>IFERROR(__xludf.DUMMYFUNCTION("IF(S13="""","""", IF(UPPER(S13)=""N/A"",""N/A"",
 IFERROR( INDEX(SPLIT(S13,""/""),1,1) / INDEX(SPLIT(S13,""/""),1,2) , ""N/A"" )
))
"),1.0)</f>
        <v>1</v>
      </c>
      <c r="U13" s="20" t="s">
        <v>22</v>
      </c>
      <c r="V13" s="21">
        <f>IFERROR(__xludf.DUMMYFUNCTION("IF(U13="""","""", IF(UPPER(U13)=""N/A"",""N/A"",
 IFERROR( INDEX(SPLIT(U13,""/""),1,1) / INDEX(SPLIT(U13,""/""),1,2) , ""N/A"" )
))
"),1.0)</f>
        <v>1</v>
      </c>
      <c r="W13" s="20" t="s">
        <v>21</v>
      </c>
      <c r="X13" s="21" t="str">
        <f>IFERROR(__xludf.DUMMYFUNCTION("IF(W13="""","""", IF(UPPER(W13)=""N/A"",""N/A"",
 IFERROR( INDEX(SPLIT(W13,""/""),1,1) / INDEX(SPLIT(W13,""/""),1,2) , ""N/A"" )
))
"),"N/A")</f>
        <v>N/A</v>
      </c>
      <c r="Y13" s="20" t="s">
        <v>21</v>
      </c>
      <c r="Z13" s="21" t="str">
        <f>IFERROR(__xludf.DUMMYFUNCTION("IF(Y13="""","""", IF(UPPER(Y13)=""N/A"",""N/A"",
 IFERROR( INDEX(SPLIT(Y13,""/""),1,1) / INDEX(SPLIT(Y13,""/""),1,2) , ""N/A"" )
))
"),"N/A")</f>
        <v>N/A</v>
      </c>
    </row>
    <row r="14" ht="21.0" customHeight="1">
      <c r="A14" s="16"/>
      <c r="B14" s="24" t="s">
        <v>40</v>
      </c>
      <c r="C14" s="18" t="s">
        <v>19</v>
      </c>
      <c r="D14" s="18" t="s">
        <v>19</v>
      </c>
      <c r="E14" s="18" t="s">
        <v>19</v>
      </c>
      <c r="F14" s="19">
        <f t="shared" si="1"/>
        <v>0.9604329004</v>
      </c>
      <c r="G14" s="20" t="s">
        <v>20</v>
      </c>
      <c r="H14" s="21">
        <f>IFERROR(__xludf.DUMMYFUNCTION("IF(G14="""","""", IF(UPPER(G14)=""N/A"",""N/A"",
 IFERROR( INDEX(SPLIT(G14,""/""),1,1) / INDEX(SPLIT(G14,""/""),1,2) , ""N/A"" )
))
"),0.9285714285714286)</f>
        <v>0.9285714286</v>
      </c>
      <c r="I14" s="22">
        <v>45940.0</v>
      </c>
      <c r="J14" s="21">
        <f>IFERROR(__xludf.DUMMYFUNCTION("IF(I14="""","""", IF(UPPER(I14)=""N/A"",""N/A"",
 IFERROR( INDEX(SPLIT(I14,""/""),1,1) / INDEX(SPLIT(I14,""/""),1,2) , ""N/A"" )
))
"),1.0)</f>
        <v>1</v>
      </c>
      <c r="K14" s="22">
        <v>45940.0</v>
      </c>
      <c r="L14" s="21">
        <f>IFERROR(__xludf.DUMMYFUNCTION("IF(K14="""","""", IF(UPPER(K14)=""N/A"",""N/A"",
 IFERROR( INDEX(SPLIT(K14,""/""),1,1) / INDEX(SPLIT(K14,""/""),1,2) , ""N/A"" )
))
"),1.0)</f>
        <v>1</v>
      </c>
      <c r="M14" s="22">
        <v>46003.0</v>
      </c>
      <c r="N14" s="21">
        <f>IFERROR(__xludf.DUMMYFUNCTION("IF(M14="""","""", IF(UPPER(M14)=""N/A"",""N/A"",
 IFERROR( INDEX(SPLIT(M14,""/""),1,1) / INDEX(SPLIT(M14,""/""),1,2) , ""N/A"" )
))
"),1.0)</f>
        <v>1</v>
      </c>
      <c r="O14" s="22">
        <v>45940.0</v>
      </c>
      <c r="P14" s="21">
        <f>IFERROR(__xludf.DUMMYFUNCTION("IF(O14="""","""", IF(UPPER(O14)=""N/A"",""N/A"",
 IFERROR( INDEX(SPLIT(O14,""/""),1,1) / INDEX(SPLIT(O14,""/""),1,2) , ""N/A"" )
))
"),1.0)</f>
        <v>1</v>
      </c>
      <c r="Q14" s="22">
        <v>46003.0</v>
      </c>
      <c r="R14" s="21">
        <f>IFERROR(__xludf.DUMMYFUNCTION("IF(Q14="""","""", IF(UPPER(Q14)=""N/A"",""N/A"",
 IFERROR( INDEX(SPLIT(Q14,""/""),1,1) / INDEX(SPLIT(Q14,""/""),1,2) , ""N/A"" )
))
"),1.0)</f>
        <v>1</v>
      </c>
      <c r="S14" s="22">
        <v>45973.0</v>
      </c>
      <c r="T14" s="21">
        <f>IFERROR(__xludf.DUMMYFUNCTION("IF(S14="""","""", IF(UPPER(S14)=""N/A"",""N/A"",
 IFERROR( INDEX(SPLIT(S14,""/""),1,1) / INDEX(SPLIT(S14,""/""),1,2) , ""N/A"" )
))
"),0.9166666666666666)</f>
        <v>0.9166666667</v>
      </c>
      <c r="U14" s="20" t="s">
        <v>22</v>
      </c>
      <c r="V14" s="21">
        <f>IFERROR(__xludf.DUMMYFUNCTION("IF(U14="""","""", IF(UPPER(U14)=""N/A"",""N/A"",
 IFERROR( INDEX(SPLIT(U14,""/""),1,1) / INDEX(SPLIT(U14,""/""),1,2) , ""N/A"" )
))
"),1.0)</f>
        <v>1</v>
      </c>
      <c r="W14" s="22">
        <v>45941.0</v>
      </c>
      <c r="X14" s="21">
        <f>IFERROR(__xludf.DUMMYFUNCTION("IF(W14="""","""", IF(UPPER(W14)=""N/A"",""N/A"",
 IFERROR( INDEX(SPLIT(W14,""/""),1,1) / INDEX(SPLIT(W14,""/""),1,2) , ""N/A"" )
))
"),0.9090909090909091)</f>
        <v>0.9090909091</v>
      </c>
      <c r="Y14" s="20" t="s">
        <v>41</v>
      </c>
      <c r="Z14" s="21">
        <f>IFERROR(__xludf.DUMMYFUNCTION("IF(Y14="""","""", IF(UPPER(Y14)=""N/A"",""N/A"",
 IFERROR( INDEX(SPLIT(Y14,""/""),1,1) / INDEX(SPLIT(Y14,""/""),1,2) , ""N/A"" )
))
"),0.85)</f>
        <v>0.85</v>
      </c>
    </row>
    <row r="15" ht="21.0" customHeight="1">
      <c r="A15" s="23"/>
      <c r="B15" s="24" t="s">
        <v>42</v>
      </c>
      <c r="C15" s="18" t="s">
        <v>19</v>
      </c>
      <c r="D15" s="18" t="s">
        <v>19</v>
      </c>
      <c r="E15" s="18" t="s">
        <v>19</v>
      </c>
      <c r="F15" s="19">
        <f t="shared" si="1"/>
        <v>1</v>
      </c>
      <c r="G15" s="20" t="s">
        <v>28</v>
      </c>
      <c r="H15" s="21">
        <f>IFERROR(__xludf.DUMMYFUNCTION("IF(G15="""","""", IF(UPPER(G15)=""N/A"",""N/A"",
 IFERROR( INDEX(SPLIT(G15,""/""),1,1) / INDEX(SPLIT(G15,""/""),1,2) , ""N/A"" )
))
"),1.0)</f>
        <v>1</v>
      </c>
      <c r="I15" s="20" t="s">
        <v>21</v>
      </c>
      <c r="J15" s="21" t="str">
        <f>IFERROR(__xludf.DUMMYFUNCTION("IF(I15="""","""", IF(UPPER(I15)=""N/A"",""N/A"",
 IFERROR( INDEX(SPLIT(I15,""/""),1,1) / INDEX(SPLIT(I15,""/""),1,2) , ""N/A"" )
))
"),"N/A")</f>
        <v>N/A</v>
      </c>
      <c r="K15" s="20" t="s">
        <v>21</v>
      </c>
      <c r="L15" s="21" t="str">
        <f>IFERROR(__xludf.DUMMYFUNCTION("IF(K15="""","""", IF(UPPER(K15)=""N/A"",""N/A"",
 IFERROR( INDEX(SPLIT(K15,""/""),1,1) / INDEX(SPLIT(K15,""/""),1,2) , ""N/A"" )
))
"),"N/A")</f>
        <v>N/A</v>
      </c>
      <c r="M15" s="20" t="s">
        <v>21</v>
      </c>
      <c r="N15" s="21" t="str">
        <f>IFERROR(__xludf.DUMMYFUNCTION("IF(M15="""","""", IF(UPPER(M15)=""N/A"",""N/A"",
 IFERROR( INDEX(SPLIT(M15,""/""),1,1) / INDEX(SPLIT(M15,""/""),1,2) , ""N/A"" )
))
"),"N/A")</f>
        <v>N/A</v>
      </c>
      <c r="O15" s="20" t="s">
        <v>21</v>
      </c>
      <c r="P15" s="21" t="str">
        <f>IFERROR(__xludf.DUMMYFUNCTION("IF(O15="""","""", IF(UPPER(O15)=""N/A"",""N/A"",
 IFERROR( INDEX(SPLIT(O15,""/""),1,1) / INDEX(SPLIT(O15,""/""),1,2) , ""N/A"" )
))
"),"N/A")</f>
        <v>N/A</v>
      </c>
      <c r="Q15" s="20" t="s">
        <v>21</v>
      </c>
      <c r="R15" s="21" t="str">
        <f>IFERROR(__xludf.DUMMYFUNCTION("IF(Q15="""","""", IF(UPPER(Q15)=""N/A"",""N/A"",
 IFERROR( INDEX(SPLIT(Q15,""/""),1,1) / INDEX(SPLIT(Q15,""/""),1,2) , ""N/A"" )
))
"),"N/A")</f>
        <v>N/A</v>
      </c>
      <c r="S15" s="20" t="s">
        <v>21</v>
      </c>
      <c r="T15" s="21" t="str">
        <f>IFERROR(__xludf.DUMMYFUNCTION("IF(S15="""","""", IF(UPPER(S15)=""N/A"",""N/A"",
 IFERROR( INDEX(SPLIT(S15,""/""),1,1) / INDEX(SPLIT(S15,""/""),1,2) , ""N/A"" )
))
"),"N/A")</f>
        <v>N/A</v>
      </c>
      <c r="U15" s="20" t="s">
        <v>21</v>
      </c>
      <c r="V15" s="21" t="str">
        <f>IFERROR(__xludf.DUMMYFUNCTION("IF(U15="""","""", IF(UPPER(U15)=""N/A"",""N/A"",
 IFERROR( INDEX(SPLIT(U15,""/""),1,1) / INDEX(SPLIT(U15,""/""),1,2) , ""N/A"" )
))
"),"N/A")</f>
        <v>N/A</v>
      </c>
      <c r="W15" s="20" t="s">
        <v>21</v>
      </c>
      <c r="X15" s="21" t="str">
        <f>IFERROR(__xludf.DUMMYFUNCTION("IF(W15="""","""", IF(UPPER(W15)=""N/A"",""N/A"",
 IFERROR( INDEX(SPLIT(W15,""/""),1,1) / INDEX(SPLIT(W15,""/""),1,2) , ""N/A"" )
))
"),"N/A")</f>
        <v>N/A</v>
      </c>
      <c r="Y15" s="20" t="s">
        <v>21</v>
      </c>
      <c r="Z15" s="21" t="str">
        <f>IFERROR(__xludf.DUMMYFUNCTION("IF(Y15="""","""", IF(UPPER(Y15)=""N/A"",""N/A"",
 IFERROR( INDEX(SPLIT(Y15,""/""),1,1) / INDEX(SPLIT(Y15,""/""),1,2) , ""N/A"" )
))
"),"N/A")</f>
        <v>N/A</v>
      </c>
    </row>
    <row r="16" ht="21.0" customHeight="1">
      <c r="A16" s="16"/>
      <c r="B16" s="17" t="s">
        <v>43</v>
      </c>
      <c r="C16" s="18" t="s">
        <v>19</v>
      </c>
      <c r="D16" s="18" t="s">
        <v>19</v>
      </c>
      <c r="E16" s="18" t="s">
        <v>19</v>
      </c>
      <c r="F16" s="26" t="str">
        <f t="shared" si="1"/>
        <v>#DIV/0!</v>
      </c>
      <c r="G16" s="20" t="s">
        <v>21</v>
      </c>
      <c r="H16" s="21" t="str">
        <f>IFERROR(__xludf.DUMMYFUNCTION("IF(G16="""","""", IF(UPPER(G16)=""N/A"",""N/A"",
 IFERROR( INDEX(SPLIT(G16,""/""),1,1) / INDEX(SPLIT(G16,""/""),1,2) , ""N/A"" )
))
"),"N/A")</f>
        <v>N/A</v>
      </c>
      <c r="I16" s="20" t="s">
        <v>21</v>
      </c>
      <c r="J16" s="21" t="str">
        <f>IFERROR(__xludf.DUMMYFUNCTION("IF(I16="""","""", IF(UPPER(I16)=""N/A"",""N/A"",
 IFERROR( INDEX(SPLIT(I16,""/""),1,1) / INDEX(SPLIT(I16,""/""),1,2) , ""N/A"" )
))
"),"N/A")</f>
        <v>N/A</v>
      </c>
      <c r="K16" s="20" t="s">
        <v>21</v>
      </c>
      <c r="L16" s="21" t="str">
        <f>IFERROR(__xludf.DUMMYFUNCTION("IF(K16="""","""", IF(UPPER(K16)=""N/A"",""N/A"",
 IFERROR( INDEX(SPLIT(K16,""/""),1,1) / INDEX(SPLIT(K16,""/""),1,2) , ""N/A"" )
))
"),"N/A")</f>
        <v>N/A</v>
      </c>
      <c r="M16" s="20" t="s">
        <v>21</v>
      </c>
      <c r="N16" s="21" t="str">
        <f>IFERROR(__xludf.DUMMYFUNCTION("IF(M16="""","""", IF(UPPER(M16)=""N/A"",""N/A"",
 IFERROR( INDEX(SPLIT(M16,""/""),1,1) / INDEX(SPLIT(M16,""/""),1,2) , ""N/A"" )
))
"),"N/A")</f>
        <v>N/A</v>
      </c>
      <c r="O16" s="20" t="s">
        <v>21</v>
      </c>
      <c r="P16" s="21" t="str">
        <f>IFERROR(__xludf.DUMMYFUNCTION("IF(O16="""","""", IF(UPPER(O16)=""N/A"",""N/A"",
 IFERROR( INDEX(SPLIT(O16,""/""),1,1) / INDEX(SPLIT(O16,""/""),1,2) , ""N/A"" )
))
"),"N/A")</f>
        <v>N/A</v>
      </c>
      <c r="Q16" s="20" t="s">
        <v>21</v>
      </c>
      <c r="R16" s="21" t="str">
        <f>IFERROR(__xludf.DUMMYFUNCTION("IF(Q16="""","""", IF(UPPER(Q16)=""N/A"",""N/A"",
 IFERROR( INDEX(SPLIT(Q16,""/""),1,1) / INDEX(SPLIT(Q16,""/""),1,2) , ""N/A"" )
))
"),"N/A")</f>
        <v>N/A</v>
      </c>
      <c r="S16" s="20" t="s">
        <v>21</v>
      </c>
      <c r="T16" s="21" t="str">
        <f>IFERROR(__xludf.DUMMYFUNCTION("IF(S16="""","""", IF(UPPER(S16)=""N/A"",""N/A"",
 IFERROR( INDEX(SPLIT(S16,""/""),1,1) / INDEX(SPLIT(S16,""/""),1,2) , ""N/A"" )
))
"),"N/A")</f>
        <v>N/A</v>
      </c>
      <c r="U16" s="20" t="s">
        <v>21</v>
      </c>
      <c r="V16" s="21" t="str">
        <f>IFERROR(__xludf.DUMMYFUNCTION("IF(U16="""","""", IF(UPPER(U16)=""N/A"",""N/A"",
 IFERROR( INDEX(SPLIT(U16,""/""),1,1) / INDEX(SPLIT(U16,""/""),1,2) , ""N/A"" )
))
"),"N/A")</f>
        <v>N/A</v>
      </c>
      <c r="W16" s="20" t="s">
        <v>21</v>
      </c>
      <c r="X16" s="21" t="str">
        <f>IFERROR(__xludf.DUMMYFUNCTION("IF(W16="""","""", IF(UPPER(W16)=""N/A"",""N/A"",
 IFERROR( INDEX(SPLIT(W16,""/""),1,1) / INDEX(SPLIT(W16,""/""),1,2) , ""N/A"" )
))
"),"N/A")</f>
        <v>N/A</v>
      </c>
      <c r="Y16" s="20" t="s">
        <v>21</v>
      </c>
      <c r="Z16" s="21" t="str">
        <f>IFERROR(__xludf.DUMMYFUNCTION("IF(Y16="""","""", IF(UPPER(Y16)=""N/A"",""N/A"",
 IFERROR( INDEX(SPLIT(Y16,""/""),1,1) / INDEX(SPLIT(Y16,""/""),1,2) , ""N/A"" )
))
"),"N/A")</f>
        <v>N/A</v>
      </c>
    </row>
    <row r="17" ht="21.0" customHeight="1">
      <c r="A17" s="16"/>
      <c r="B17" s="17" t="s">
        <v>44</v>
      </c>
      <c r="C17" s="18" t="s">
        <v>19</v>
      </c>
      <c r="D17" s="18" t="s">
        <v>19</v>
      </c>
      <c r="E17" s="18" t="s">
        <v>19</v>
      </c>
      <c r="F17" s="19">
        <f t="shared" si="1"/>
        <v>0.9821428571</v>
      </c>
      <c r="G17" s="20" t="s">
        <v>45</v>
      </c>
      <c r="H17" s="21">
        <f>IFERROR(__xludf.DUMMYFUNCTION("IF(G17="""","""", IF(UPPER(G17)=""N/A"",""N/A"",
 IFERROR( INDEX(SPLIT(G17,""/""),1,1) / INDEX(SPLIT(G17,""/""),1,2) , ""N/A"" )
))
"),0.8214285714285714)</f>
        <v>0.8214285714</v>
      </c>
      <c r="I17" s="22">
        <v>45940.0</v>
      </c>
      <c r="J17" s="21">
        <f>IFERROR(__xludf.DUMMYFUNCTION("IF(I17="""","""", IF(UPPER(I17)=""N/A"",""N/A"",
 IFERROR( INDEX(SPLIT(I17,""/""),1,1) / INDEX(SPLIT(I17,""/""),1,2) , ""N/A"" )
))
"),1.0)</f>
        <v>1</v>
      </c>
      <c r="K17" s="22">
        <v>45940.0</v>
      </c>
      <c r="L17" s="21">
        <f>IFERROR(__xludf.DUMMYFUNCTION("IF(K17="""","""", IF(UPPER(K17)=""N/A"",""N/A"",
 IFERROR( INDEX(SPLIT(K17,""/""),1,1) / INDEX(SPLIT(K17,""/""),1,2) , ""N/A"" )
))
"),1.0)</f>
        <v>1</v>
      </c>
      <c r="M17" s="22">
        <v>46003.0</v>
      </c>
      <c r="N17" s="21">
        <f>IFERROR(__xludf.DUMMYFUNCTION("IF(M17="""","""", IF(UPPER(M17)=""N/A"",""N/A"",
 IFERROR( INDEX(SPLIT(M17,""/""),1,1) / INDEX(SPLIT(M17,""/""),1,2) , ""N/A"" )
))
"),1.0)</f>
        <v>1</v>
      </c>
      <c r="O17" s="22">
        <v>45940.0</v>
      </c>
      <c r="P17" s="21">
        <f>IFERROR(__xludf.DUMMYFUNCTION("IF(O17="""","""", IF(UPPER(O17)=""N/A"",""N/A"",
 IFERROR( INDEX(SPLIT(O17,""/""),1,1) / INDEX(SPLIT(O17,""/""),1,2) , ""N/A"" )
))
"),1.0)</f>
        <v>1</v>
      </c>
      <c r="Q17" s="22">
        <v>46003.0</v>
      </c>
      <c r="R17" s="21">
        <f>IFERROR(__xludf.DUMMYFUNCTION("IF(Q17="""","""", IF(UPPER(Q17)=""N/A"",""N/A"",
 IFERROR( INDEX(SPLIT(Q17,""/""),1,1) / INDEX(SPLIT(Q17,""/""),1,2) , ""N/A"" )
))
"),1.0)</f>
        <v>1</v>
      </c>
      <c r="S17" s="22">
        <v>46003.0</v>
      </c>
      <c r="T17" s="21">
        <f>IFERROR(__xludf.DUMMYFUNCTION("IF(S17="""","""", IF(UPPER(S17)=""N/A"",""N/A"",
 IFERROR( INDEX(SPLIT(S17,""/""),1,1) / INDEX(SPLIT(S17,""/""),1,2) , ""N/A"" )
))
"),1.0)</f>
        <v>1</v>
      </c>
      <c r="U17" s="20" t="s">
        <v>22</v>
      </c>
      <c r="V17" s="21">
        <f>IFERROR(__xludf.DUMMYFUNCTION("IF(U17="""","""", IF(UPPER(U17)=""N/A"",""N/A"",
 IFERROR( INDEX(SPLIT(U17,""/""),1,1) / INDEX(SPLIT(U17,""/""),1,2) , ""N/A"" )
))
"),1.0)</f>
        <v>1</v>
      </c>
      <c r="W17" s="22">
        <v>45972.0</v>
      </c>
      <c r="X17" s="21">
        <f>IFERROR(__xludf.DUMMYFUNCTION("IF(W17="""","""", IF(UPPER(W17)=""N/A"",""N/A"",
 IFERROR( INDEX(SPLIT(W17,""/""),1,1) / INDEX(SPLIT(W17,""/""),1,2) , ""N/A"" )
))
"),1.0)</f>
        <v>1</v>
      </c>
      <c r="Y17" s="22">
        <v>45940.0</v>
      </c>
      <c r="Z17" s="21">
        <f>IFERROR(__xludf.DUMMYFUNCTION("IF(Y17="""","""", IF(UPPER(Y17)=""N/A"",""N/A"",
 IFERROR( INDEX(SPLIT(Y17,""/""),1,1) / INDEX(SPLIT(Y17,""/""),1,2) , ""N/A"" )
))
"),1.0)</f>
        <v>1</v>
      </c>
    </row>
    <row r="18" ht="21.0" customHeight="1">
      <c r="A18" s="16"/>
      <c r="B18" s="24" t="s">
        <v>46</v>
      </c>
      <c r="C18" s="18" t="s">
        <v>19</v>
      </c>
      <c r="D18" s="18" t="s">
        <v>19</v>
      </c>
      <c r="E18" s="18" t="s">
        <v>19</v>
      </c>
      <c r="F18" s="19">
        <f t="shared" si="1"/>
        <v>0.8702564103</v>
      </c>
      <c r="G18" s="20" t="s">
        <v>21</v>
      </c>
      <c r="H18" s="21" t="str">
        <f>IFERROR(__xludf.DUMMYFUNCTION("IF(G18="""","""", IF(UPPER(G18)=""N/A"",""N/A"",
 IFERROR( INDEX(SPLIT(G18,""/""),1,1) / INDEX(SPLIT(G18,""/""),1,2) , ""N/A"" )
))
"),"N/A")</f>
        <v>N/A</v>
      </c>
      <c r="I18" s="20" t="s">
        <v>21</v>
      </c>
      <c r="J18" s="21" t="str">
        <f>IFERROR(__xludf.DUMMYFUNCTION("IF(I18="""","""", IF(UPPER(I18)=""N/A"",""N/A"",
 IFERROR( INDEX(SPLIT(I18,""/""),1,1) / INDEX(SPLIT(I18,""/""),1,2) , ""N/A"" )
))
"),"N/A")</f>
        <v>N/A</v>
      </c>
      <c r="K18" s="20" t="s">
        <v>21</v>
      </c>
      <c r="L18" s="21" t="str">
        <f>IFERROR(__xludf.DUMMYFUNCTION("IF(K18="""","""", IF(UPPER(K18)=""N/A"",""N/A"",
 IFERROR( INDEX(SPLIT(K18,""/""),1,1) / INDEX(SPLIT(K18,""/""),1,2) , ""N/A"" )
))
"),"N/A")</f>
        <v>N/A</v>
      </c>
      <c r="M18" s="20" t="s">
        <v>21</v>
      </c>
      <c r="N18" s="21" t="str">
        <f>IFERROR(__xludf.DUMMYFUNCTION("IF(M18="""","""", IF(UPPER(M18)=""N/A"",""N/A"",
 IFERROR( INDEX(SPLIT(M18,""/""),1,1) / INDEX(SPLIT(M18,""/""),1,2) , ""N/A"" )
))
"),"N/A")</f>
        <v>N/A</v>
      </c>
      <c r="O18" s="20" t="s">
        <v>21</v>
      </c>
      <c r="P18" s="21" t="str">
        <f>IFERROR(__xludf.DUMMYFUNCTION("IF(O18="""","""", IF(UPPER(O18)=""N/A"",""N/A"",
 IFERROR( INDEX(SPLIT(O18,""/""),1,1) / INDEX(SPLIT(O18,""/""),1,2) , ""N/A"" )
))
"),"N/A")</f>
        <v>N/A</v>
      </c>
      <c r="Q18" s="22">
        <v>45912.0</v>
      </c>
      <c r="R18" s="21">
        <f>IFERROR(__xludf.DUMMYFUNCTION("IF(Q18="""","""", IF(UPPER(Q18)=""N/A"",""N/A"",
 IFERROR( INDEX(SPLIT(Q18,""/""),1,1) / INDEX(SPLIT(Q18,""/""),1,2) , ""N/A"" )
))
"),0.75)</f>
        <v>0.75</v>
      </c>
      <c r="S18" s="22">
        <v>45973.0</v>
      </c>
      <c r="T18" s="21">
        <f>IFERROR(__xludf.DUMMYFUNCTION("IF(S18="""","""", IF(UPPER(S18)=""N/A"",""N/A"",
 IFERROR( INDEX(SPLIT(S18,""/""),1,1) / INDEX(SPLIT(S18,""/""),1,2) , ""N/A"" )
))
"),0.9166666666666666)</f>
        <v>0.9166666667</v>
      </c>
      <c r="U18" s="20" t="s">
        <v>47</v>
      </c>
      <c r="V18" s="21">
        <f>IFERROR(__xludf.DUMMYFUNCTION("IF(U18="""","""", IF(UPPER(U18)=""N/A"",""N/A"",
 IFERROR( INDEX(SPLIT(U18,""/""),1,1) / INDEX(SPLIT(U18,""/""),1,2) , ""N/A"" )
))
"),0.8846153846153846)</f>
        <v>0.8846153846</v>
      </c>
      <c r="W18" s="22">
        <v>45972.0</v>
      </c>
      <c r="X18" s="21">
        <f>IFERROR(__xludf.DUMMYFUNCTION("IF(W18="""","""", IF(UPPER(W18)=""N/A"",""N/A"",
 IFERROR( INDEX(SPLIT(W18,""/""),1,1) / INDEX(SPLIT(W18,""/""),1,2) , ""N/A"" )
))
"),1.0)</f>
        <v>1</v>
      </c>
      <c r="Y18" s="22">
        <v>45879.0</v>
      </c>
      <c r="Z18" s="21">
        <f>IFERROR(__xludf.DUMMYFUNCTION("IF(Y18="""","""", IF(UPPER(Y18)=""N/A"",""N/A"",
 IFERROR( INDEX(SPLIT(Y18,""/""),1,1) / INDEX(SPLIT(Y18,""/""),1,2) , ""N/A"" )
))
"),0.8)</f>
        <v>0.8</v>
      </c>
    </row>
    <row r="19" ht="21.0" customHeight="1">
      <c r="A19" s="16"/>
      <c r="B19" s="24" t="s">
        <v>48</v>
      </c>
      <c r="C19" s="18" t="s">
        <v>19</v>
      </c>
      <c r="D19" s="18" t="s">
        <v>19</v>
      </c>
      <c r="E19" s="18" t="s">
        <v>19</v>
      </c>
      <c r="F19" s="19">
        <f t="shared" si="1"/>
        <v>0.9869871795</v>
      </c>
      <c r="G19" s="20" t="s">
        <v>28</v>
      </c>
      <c r="H19" s="21">
        <f>IFERROR(__xludf.DUMMYFUNCTION("IF(G19="""","""", IF(UPPER(G19)=""N/A"",""N/A"",
 IFERROR( INDEX(SPLIT(G19,""/""),1,1) / INDEX(SPLIT(G19,""/""),1,2) , ""N/A"" )
))
"),1.0)</f>
        <v>1</v>
      </c>
      <c r="I19" s="22">
        <v>45940.0</v>
      </c>
      <c r="J19" s="21">
        <f>IFERROR(__xludf.DUMMYFUNCTION("IF(I19="""","""", IF(UPPER(I19)=""N/A"",""N/A"",
 IFERROR( INDEX(SPLIT(I19,""/""),1,1) / INDEX(SPLIT(I19,""/""),1,2) , ""N/A"" )
))
"),1.0)</f>
        <v>1</v>
      </c>
      <c r="K19" s="20" t="s">
        <v>24</v>
      </c>
      <c r="L19" s="21">
        <f>IFERROR(__xludf.DUMMYFUNCTION("IF(K19="""","""", IF(UPPER(K19)=""N/A"",""N/A"",
 IFERROR( INDEX(SPLIT(K19,""/""),1,1) / INDEX(SPLIT(K19,""/""),1,2) , ""N/A"" )
))
"),0.95)</f>
        <v>0.95</v>
      </c>
      <c r="M19" s="22">
        <v>46003.0</v>
      </c>
      <c r="N19" s="21">
        <f>IFERROR(__xludf.DUMMYFUNCTION("IF(M19="""","""", IF(UPPER(M19)=""N/A"",""N/A"",
 IFERROR( INDEX(SPLIT(M19,""/""),1,1) / INDEX(SPLIT(M19,""/""),1,2) , ""N/A"" )
))
"),1.0)</f>
        <v>1</v>
      </c>
      <c r="O19" s="22">
        <v>45940.0</v>
      </c>
      <c r="P19" s="21">
        <f>IFERROR(__xludf.DUMMYFUNCTION("IF(O19="""","""", IF(UPPER(O19)=""N/A"",""N/A"",
 IFERROR( INDEX(SPLIT(O19,""/""),1,1) / INDEX(SPLIT(O19,""/""),1,2) , ""N/A"" )
))
"),1.0)</f>
        <v>1</v>
      </c>
      <c r="Q19" s="20" t="s">
        <v>30</v>
      </c>
      <c r="R19" s="21">
        <f>IFERROR(__xludf.DUMMYFUNCTION("IF(Q19="""","""", IF(UPPER(Q19)=""N/A"",""N/A"",
 IFERROR( INDEX(SPLIT(Q19,""/""),1,1) / INDEX(SPLIT(Q19,""/""),1,2) , ""N/A"" )
))
"),0.9583333333333334)</f>
        <v>0.9583333333</v>
      </c>
      <c r="S19" s="22">
        <v>46003.0</v>
      </c>
      <c r="T19" s="21">
        <f>IFERROR(__xludf.DUMMYFUNCTION("IF(S19="""","""", IF(UPPER(S19)=""N/A"",""N/A"",
 IFERROR( INDEX(SPLIT(S19,""/""),1,1) / INDEX(SPLIT(S19,""/""),1,2) , ""N/A"" )
))
"),1.0)</f>
        <v>1</v>
      </c>
      <c r="U19" s="20" t="s">
        <v>34</v>
      </c>
      <c r="V19" s="21">
        <f>IFERROR(__xludf.DUMMYFUNCTION("IF(U19="""","""", IF(UPPER(U19)=""N/A"",""N/A"",
 IFERROR( INDEX(SPLIT(U19,""/""),1,1) / INDEX(SPLIT(U19,""/""),1,2) , ""N/A"" )
))
"),0.9615384615384616)</f>
        <v>0.9615384615</v>
      </c>
      <c r="W19" s="22">
        <v>45972.0</v>
      </c>
      <c r="X19" s="21">
        <f>IFERROR(__xludf.DUMMYFUNCTION("IF(W19="""","""", IF(UPPER(W19)=""N/A"",""N/A"",
 IFERROR( INDEX(SPLIT(W19,""/""),1,1) / INDEX(SPLIT(W19,""/""),1,2) , ""N/A"" )
))
"),1.0)</f>
        <v>1</v>
      </c>
      <c r="Y19" s="22">
        <v>45940.0</v>
      </c>
      <c r="Z19" s="21">
        <f>IFERROR(__xludf.DUMMYFUNCTION("IF(Y19="""","""", IF(UPPER(Y19)=""N/A"",""N/A"",
 IFERROR( INDEX(SPLIT(Y19,""/""),1,1) / INDEX(SPLIT(Y19,""/""),1,2) , ""N/A"" )
))
"),1.0)</f>
        <v>1</v>
      </c>
    </row>
    <row r="20" ht="21.0" customHeight="1">
      <c r="A20" s="16"/>
      <c r="B20" s="17" t="s">
        <v>49</v>
      </c>
      <c r="C20" s="18" t="s">
        <v>19</v>
      </c>
      <c r="D20" s="18" t="s">
        <v>19</v>
      </c>
      <c r="E20" s="18" t="s">
        <v>19</v>
      </c>
      <c r="F20" s="19">
        <f t="shared" si="1"/>
        <v>0.8461538462</v>
      </c>
      <c r="G20" s="27"/>
      <c r="H20" s="28"/>
      <c r="I20" s="27"/>
      <c r="J20" s="28"/>
      <c r="K20" s="27"/>
      <c r="L20" s="28"/>
      <c r="M20" s="27"/>
      <c r="N20" s="28"/>
      <c r="O20" s="27"/>
      <c r="P20" s="28"/>
      <c r="Q20" s="27"/>
      <c r="R20" s="28"/>
      <c r="S20" s="27"/>
      <c r="T20" s="28" t="str">
        <f>IFERROR(__xludf.DUMMYFUNCTION("IF(S20="""","""", IF(UPPER(S20)=""N/A"",""N/A"",
 IFERROR( INDEX(SPLIT(S20,""/""),1,1) / INDEX(SPLIT(S20,""/""),1,2) , ""N/A"" )
))
"),"")</f>
        <v/>
      </c>
      <c r="U20" s="22">
        <v>45913.0</v>
      </c>
      <c r="V20" s="21">
        <f>IFERROR(__xludf.DUMMYFUNCTION("IF(U20="""","""", IF(UPPER(U20)=""N/A"",""N/A"",
 IFERROR( INDEX(SPLIT(U20,""/""),1,1) / INDEX(SPLIT(U20,""/""),1,2) , ""N/A"" )
))
"),0.6923076923076923)</f>
        <v>0.6923076923</v>
      </c>
      <c r="W20" s="20" t="s">
        <v>21</v>
      </c>
      <c r="X20" s="21" t="str">
        <f>IFERROR(__xludf.DUMMYFUNCTION("IF(W20="""","""", IF(UPPER(W20)=""N/A"",""N/A"",
 IFERROR( INDEX(SPLIT(W20,""/""),1,1) / INDEX(SPLIT(W20,""/""),1,2) , ""N/A"" )
))
"),"N/A")</f>
        <v>N/A</v>
      </c>
      <c r="Y20" s="22">
        <v>45940.0</v>
      </c>
      <c r="Z20" s="21">
        <f>IFERROR(__xludf.DUMMYFUNCTION("IF(Y20="""","""", IF(UPPER(Y20)=""N/A"",""N/A"",
 IFERROR( INDEX(SPLIT(Y20,""/""),1,1) / INDEX(SPLIT(Y20,""/""),1,2) , ""N/A"" )
))
"),1.0)</f>
        <v>1</v>
      </c>
    </row>
    <row r="21" ht="21.0" customHeight="1">
      <c r="A21" s="16"/>
      <c r="B21" s="17" t="s">
        <v>50</v>
      </c>
      <c r="C21" s="18" t="s">
        <v>19</v>
      </c>
      <c r="D21" s="18" t="s">
        <v>19</v>
      </c>
      <c r="E21" s="18" t="s">
        <v>19</v>
      </c>
      <c r="F21" s="19">
        <f t="shared" si="1"/>
        <v>0.727039627</v>
      </c>
      <c r="G21" s="27"/>
      <c r="H21" s="28"/>
      <c r="I21" s="27"/>
      <c r="J21" s="28"/>
      <c r="K21" s="27"/>
      <c r="L21" s="28"/>
      <c r="M21" s="27"/>
      <c r="N21" s="28"/>
      <c r="O21" s="27"/>
      <c r="P21" s="28"/>
      <c r="Q21" s="27"/>
      <c r="R21" s="28"/>
      <c r="S21" s="27"/>
      <c r="T21" s="28" t="str">
        <f>IFERROR(__xludf.DUMMYFUNCTION("IF(S21="""","""", IF(UPPER(S21)=""N/A"",""N/A"",
 IFERROR( INDEX(SPLIT(S21,""/""),1,1) / INDEX(SPLIT(S21,""/""),1,2) , ""N/A"" )
))
"),"")</f>
        <v/>
      </c>
      <c r="U21" s="20" t="s">
        <v>51</v>
      </c>
      <c r="V21" s="21">
        <f>IFERROR(__xludf.DUMMYFUNCTION("IF(U21="""","""", IF(UPPER(U21)=""N/A"",""N/A"",
 IFERROR( INDEX(SPLIT(U21,""/""),1,1) / INDEX(SPLIT(U21,""/""),1,2) , ""N/A"" )
))
"),0.6538461538461539)</f>
        <v>0.6538461538</v>
      </c>
      <c r="W21" s="22">
        <v>45880.0</v>
      </c>
      <c r="X21" s="21">
        <f>IFERROR(__xludf.DUMMYFUNCTION("IF(W21="""","""", IF(UPPER(W21)=""N/A"",""N/A"",
 IFERROR( INDEX(SPLIT(W21,""/""),1,1) / INDEX(SPLIT(W21,""/""),1,2) , ""N/A"" )
))
"),0.7272727272727273)</f>
        <v>0.7272727273</v>
      </c>
      <c r="Y21" s="22">
        <v>45879.0</v>
      </c>
      <c r="Z21" s="21">
        <f>IFERROR(__xludf.DUMMYFUNCTION("IF(Y21="""","""", IF(UPPER(Y21)=""N/A"",""N/A"",
 IFERROR( INDEX(SPLIT(Y21,""/""),1,1) / INDEX(SPLIT(Y21,""/""),1,2) , ""N/A"" )
))
"),0.8)</f>
        <v>0.8</v>
      </c>
    </row>
    <row r="22" ht="21.0" customHeight="1">
      <c r="A22" s="16"/>
      <c r="B22" s="17" t="s">
        <v>52</v>
      </c>
      <c r="C22" s="18" t="s">
        <v>19</v>
      </c>
      <c r="D22" s="18" t="s">
        <v>19</v>
      </c>
      <c r="E22" s="18" t="s">
        <v>19</v>
      </c>
      <c r="F22" s="19">
        <f t="shared" si="1"/>
        <v>0.9354545455</v>
      </c>
      <c r="G22" s="20" t="s">
        <v>28</v>
      </c>
      <c r="H22" s="21">
        <f>IFERROR(__xludf.DUMMYFUNCTION("IF(G22="""","""", IF(UPPER(G22)=""N/A"",""N/A"",
 IFERROR( INDEX(SPLIT(G22,""/""),1,1) / INDEX(SPLIT(G22,""/""),1,2) , ""N/A"" )
))
"),1.0)</f>
        <v>1</v>
      </c>
      <c r="I22" s="22">
        <v>45940.0</v>
      </c>
      <c r="J22" s="21">
        <f>IFERROR(__xludf.DUMMYFUNCTION("IF(I22="""","""", IF(UPPER(I22)=""N/A"",""N/A"",
 IFERROR( INDEX(SPLIT(I22,""/""),1,1) / INDEX(SPLIT(I22,""/""),1,2) , ""N/A"" )
))
"),1.0)</f>
        <v>1</v>
      </c>
      <c r="K22" s="20" t="s">
        <v>24</v>
      </c>
      <c r="L22" s="21">
        <f>IFERROR(__xludf.DUMMYFUNCTION("IF(K22="""","""", IF(UPPER(K22)=""N/A"",""N/A"",
 IFERROR( INDEX(SPLIT(K22,""/""),1,1) / INDEX(SPLIT(K22,""/""),1,2) , ""N/A"" )
))
"),0.95)</f>
        <v>0.95</v>
      </c>
      <c r="M22" s="22">
        <v>45942.0</v>
      </c>
      <c r="N22" s="21">
        <f>IFERROR(__xludf.DUMMYFUNCTION("IF(M22="""","""", IF(UPPER(M22)=""N/A"",""N/A"",
 IFERROR( INDEX(SPLIT(M22,""/""),1,1) / INDEX(SPLIT(M22,""/""),1,2) , ""N/A"" )
))
"),0.8333333333333334)</f>
        <v>0.8333333333</v>
      </c>
      <c r="O22" s="22">
        <v>45879.0</v>
      </c>
      <c r="P22" s="21">
        <f>IFERROR(__xludf.DUMMYFUNCTION("IF(O22="""","""", IF(UPPER(O22)=""N/A"",""N/A"",
 IFERROR( INDEX(SPLIT(O22,""/""),1,1) / INDEX(SPLIT(O22,""/""),1,2) , ""N/A"" )
))
"),0.8)</f>
        <v>0.8</v>
      </c>
      <c r="Q22" s="22">
        <v>45973.0</v>
      </c>
      <c r="R22" s="21">
        <f>IFERROR(__xludf.DUMMYFUNCTION("IF(Q22="""","""", IF(UPPER(Q22)=""N/A"",""N/A"",
 IFERROR( INDEX(SPLIT(Q22,""/""),1,1) / INDEX(SPLIT(Q22,""/""),1,2) , ""N/A"" )
))
"),0.9166666666666666)</f>
        <v>0.9166666667</v>
      </c>
      <c r="S22" s="22">
        <v>45972.0</v>
      </c>
      <c r="T22" s="21">
        <f>IFERROR(__xludf.DUMMYFUNCTION("IF(S22="""","""", IF(UPPER(S22)=""N/A"",""N/A"",
 IFERROR( INDEX(SPLIT(S22,""/""),1,1) / INDEX(SPLIT(S22,""/""),1,2) , ""N/A"" )
))
"),1.0)</f>
        <v>1</v>
      </c>
      <c r="U22" s="20" t="s">
        <v>22</v>
      </c>
      <c r="V22" s="21">
        <f>IFERROR(__xludf.DUMMYFUNCTION("IF(U22="""","""", IF(UPPER(U22)=""N/A"",""N/A"",
 IFERROR( INDEX(SPLIT(U22,""/""),1,1) / INDEX(SPLIT(U22,""/""),1,2) , ""N/A"" )
))
"),1.0)</f>
        <v>1</v>
      </c>
      <c r="W22" s="20" t="s">
        <v>35</v>
      </c>
      <c r="X22" s="21">
        <f>IFERROR(__xludf.DUMMYFUNCTION("IF(W22="""","""", IF(UPPER(W22)=""N/A"",""N/A"",
 IFERROR( INDEX(SPLIT(W22,""/""),1,1) / INDEX(SPLIT(W22,""/""),1,2) , ""N/A"" )
))
"),0.9545454545454546)</f>
        <v>0.9545454545</v>
      </c>
      <c r="Y22" s="22">
        <v>45910.0</v>
      </c>
      <c r="Z22" s="21">
        <f>IFERROR(__xludf.DUMMYFUNCTION("IF(Y22="""","""", IF(UPPER(Y22)=""N/A"",""N/A"",
 IFERROR( INDEX(SPLIT(Y22,""/""),1,1) / INDEX(SPLIT(Y22,""/""),1,2) , ""N/A"" )
))
"),0.9)</f>
        <v>0.9</v>
      </c>
    </row>
    <row r="23" ht="21.0" customHeight="1">
      <c r="A23" s="16"/>
      <c r="B23" s="17" t="s">
        <v>53</v>
      </c>
      <c r="C23" s="18" t="s">
        <v>19</v>
      </c>
      <c r="D23" s="18" t="s">
        <v>19</v>
      </c>
      <c r="E23" s="18" t="s">
        <v>19</v>
      </c>
      <c r="F23" s="19">
        <f t="shared" si="1"/>
        <v>0.9261904762</v>
      </c>
      <c r="G23" s="20" t="s">
        <v>20</v>
      </c>
      <c r="H23" s="21">
        <f>IFERROR(__xludf.DUMMYFUNCTION("IF(G23="""","""", IF(UPPER(G23)=""N/A"",""N/A"",
 IFERROR( INDEX(SPLIT(G23,""/""),1,1) / INDEX(SPLIT(G23,""/""),1,2) , ""N/A"" )
))
"),0.9285714285714286)</f>
        <v>0.9285714286</v>
      </c>
      <c r="I23" s="22">
        <v>45940.0</v>
      </c>
      <c r="J23" s="21">
        <f>IFERROR(__xludf.DUMMYFUNCTION("IF(I23="""","""", IF(UPPER(I23)=""N/A"",""N/A"",
 IFERROR( INDEX(SPLIT(I23,""/""),1,1) / INDEX(SPLIT(I23,""/""),1,2) , ""N/A"" )
))
"),1.0)</f>
        <v>1</v>
      </c>
      <c r="K23" s="20" t="s">
        <v>41</v>
      </c>
      <c r="L23" s="21">
        <f>IFERROR(__xludf.DUMMYFUNCTION("IF(K23="""","""", IF(UPPER(K23)=""N/A"",""N/A"",
 IFERROR( INDEX(SPLIT(K23,""/""),1,1) / INDEX(SPLIT(K23,""/""),1,2) , ""N/A"" )
))
"),0.85)</f>
        <v>0.85</v>
      </c>
      <c r="M23" s="20" t="s">
        <v>21</v>
      </c>
      <c r="N23" s="21" t="str">
        <f>IFERROR(__xludf.DUMMYFUNCTION("IF(M23="""","""", IF(UPPER(M23)=""N/A"",""N/A"",
 IFERROR( INDEX(SPLIT(M23,""/""),1,1) / INDEX(SPLIT(M23,""/""),1,2) , ""N/A"" )
))
"),"N/A")</f>
        <v>N/A</v>
      </c>
      <c r="O23" s="20" t="s">
        <v>21</v>
      </c>
      <c r="P23" s="21" t="str">
        <f>IFERROR(__xludf.DUMMYFUNCTION("IF(O23="""","""", IF(UPPER(O23)=""N/A"",""N/A"",
 IFERROR( INDEX(SPLIT(O23,""/""),1,1) / INDEX(SPLIT(O23,""/""),1,2) , ""N/A"" )
))
"),"N/A")</f>
        <v>N/A</v>
      </c>
      <c r="Q23" s="20" t="s">
        <v>21</v>
      </c>
      <c r="R23" s="21" t="str">
        <f>IFERROR(__xludf.DUMMYFUNCTION("IF(Q23="""","""", IF(UPPER(Q23)=""N/A"",""N/A"",
 IFERROR( INDEX(SPLIT(Q23,""/""),1,1) / INDEX(SPLIT(Q23,""/""),1,2) , ""N/A"" )
))
"),"N/A")</f>
        <v>N/A</v>
      </c>
      <c r="S23" s="20" t="s">
        <v>21</v>
      </c>
      <c r="T23" s="21" t="str">
        <f>IFERROR(__xludf.DUMMYFUNCTION("IF(S23="""","""", IF(UPPER(S23)=""N/A"",""N/A"",
 IFERROR( INDEX(SPLIT(S23,""/""),1,1) / INDEX(SPLIT(S23,""/""),1,2) , ""N/A"" )
))
"),"N/A")</f>
        <v>N/A</v>
      </c>
      <c r="U23" s="20" t="s">
        <v>21</v>
      </c>
      <c r="V23" s="21" t="str">
        <f>IFERROR(__xludf.DUMMYFUNCTION("IF(U23="""","""", IF(UPPER(U23)=""N/A"",""N/A"",
 IFERROR( INDEX(SPLIT(U23,""/""),1,1) / INDEX(SPLIT(U23,""/""),1,2) , ""N/A"" )
))
"),"N/A")</f>
        <v>N/A</v>
      </c>
      <c r="W23" s="20" t="s">
        <v>21</v>
      </c>
      <c r="X23" s="21" t="str">
        <f>IFERROR(__xludf.DUMMYFUNCTION("IF(W23="""","""", IF(UPPER(W23)=""N/A"",""N/A"",
 IFERROR( INDEX(SPLIT(W23,""/""),1,1) / INDEX(SPLIT(W23,""/""),1,2) , ""N/A"" )
))
"),"N/A")</f>
        <v>N/A</v>
      </c>
      <c r="Y23" s="20" t="s">
        <v>21</v>
      </c>
      <c r="Z23" s="21" t="str">
        <f>IFERROR(__xludf.DUMMYFUNCTION("IF(Y23="""","""", IF(UPPER(Y23)=""N/A"",""N/A"",
 IFERROR( INDEX(SPLIT(Y23,""/""),1,1) / INDEX(SPLIT(Y23,""/""),1,2) , ""N/A"" )
))
"),"N/A")</f>
        <v>N/A</v>
      </c>
    </row>
    <row r="24" ht="21.0" customHeight="1">
      <c r="A24" s="16"/>
      <c r="B24" s="17" t="s">
        <v>54</v>
      </c>
      <c r="C24" s="18" t="s">
        <v>19</v>
      </c>
      <c r="D24" s="18" t="s">
        <v>19</v>
      </c>
      <c r="E24" s="18" t="s">
        <v>19</v>
      </c>
      <c r="F24" s="19">
        <f t="shared" si="1"/>
        <v>0.9196969697</v>
      </c>
      <c r="G24" s="27"/>
      <c r="H24" s="28"/>
      <c r="I24" s="29"/>
      <c r="J24" s="28"/>
      <c r="K24" s="27"/>
      <c r="L24" s="28"/>
      <c r="M24" s="27"/>
      <c r="N24" s="28"/>
      <c r="O24" s="20" t="s">
        <v>41</v>
      </c>
      <c r="P24" s="21">
        <f>IFERROR(__xludf.DUMMYFUNCTION("IF(O24="""","""", IF(UPPER(O24)=""N/A"",""N/A"",
 IFERROR( INDEX(SPLIT(O24,""/""),1,1) / INDEX(SPLIT(O24,""/""),1,2) , ""N/A"" )
))
"),0.85)</f>
        <v>0.85</v>
      </c>
      <c r="Q24" s="22">
        <v>46003.0</v>
      </c>
      <c r="R24" s="21">
        <f>IFERROR(__xludf.DUMMYFUNCTION("IF(Q24="""","""", IF(UPPER(Q24)=""N/A"",""N/A"",
 IFERROR( INDEX(SPLIT(Q24,""/""),1,1) / INDEX(SPLIT(Q24,""/""),1,2) , ""N/A"" )
))
"),1.0)</f>
        <v>1</v>
      </c>
      <c r="S24" s="22">
        <v>45941.0</v>
      </c>
      <c r="T24" s="21">
        <f>IFERROR(__xludf.DUMMYFUNCTION("IF(S24="""","""", IF(UPPER(S24)=""N/A"",""N/A"",
 IFERROR( INDEX(SPLIT(S24,""/""),1,1) / INDEX(SPLIT(S24,""/""),1,2) , ""N/A"" )
))
"),0.9090909090909091)</f>
        <v>0.9090909091</v>
      </c>
      <c r="U24" s="20" t="s">
        <v>21</v>
      </c>
      <c r="V24" s="21" t="str">
        <f>IFERROR(__xludf.DUMMYFUNCTION("IF(U24="""","""", IF(UPPER(U24)=""N/A"",""N/A"",
 IFERROR( INDEX(SPLIT(U24,""/""),1,1) / INDEX(SPLIT(U24,""/""),1,2) , ""N/A"" )
))
"),"N/A")</f>
        <v>N/A</v>
      </c>
      <c r="W24" s="20" t="s">
        <v>21</v>
      </c>
      <c r="X24" s="21" t="str">
        <f>IFERROR(__xludf.DUMMYFUNCTION("IF(W24="""","""", IF(UPPER(W24)=""N/A"",""N/A"",
 IFERROR( INDEX(SPLIT(W24,""/""),1,1) / INDEX(SPLIT(W24,""/""),1,2) , ""N/A"" )
))
"),"N/A")</f>
        <v>N/A</v>
      </c>
      <c r="Y24" s="20" t="s">
        <v>21</v>
      </c>
      <c r="Z24" s="21" t="str">
        <f>IFERROR(__xludf.DUMMYFUNCTION("IF(Y24="""","""", IF(UPPER(Y24)=""N/A"",""N/A"",
 IFERROR( INDEX(SPLIT(Y24,""/""),1,1) / INDEX(SPLIT(Y24,""/""),1,2) , ""N/A"" )
))
"),"N/A")</f>
        <v>N/A</v>
      </c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1"/>
      <c r="V25" s="30"/>
      <c r="W25" s="30"/>
      <c r="X25" s="30"/>
      <c r="Y25" s="31"/>
      <c r="Z25" s="30"/>
    </row>
    <row r="26">
      <c r="A26" s="30"/>
      <c r="B26" s="30"/>
      <c r="C26" s="32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1"/>
      <c r="V26" s="30"/>
      <c r="W26" s="30"/>
      <c r="X26" s="30"/>
      <c r="Y26" s="31"/>
      <c r="Z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1"/>
      <c r="V27" s="30"/>
      <c r="W27" s="30"/>
      <c r="X27" s="30"/>
      <c r="Y27" s="31"/>
      <c r="Z27" s="30"/>
    </row>
    <row r="28">
      <c r="A28" s="30"/>
      <c r="B28" s="30"/>
      <c r="C28" s="30"/>
      <c r="D28" s="30"/>
      <c r="E28" s="30"/>
      <c r="F28" s="30"/>
    </row>
    <row r="29">
      <c r="A29" s="30"/>
      <c r="B29" s="30"/>
      <c r="C29" s="30"/>
      <c r="D29" s="30"/>
      <c r="E29" s="30"/>
      <c r="F29" s="30"/>
    </row>
    <row r="30">
      <c r="A30" s="30"/>
      <c r="B30" s="30"/>
      <c r="C30" s="30"/>
      <c r="D30" s="30"/>
      <c r="E30" s="30"/>
      <c r="F30" s="30"/>
    </row>
    <row r="31">
      <c r="A31" s="30"/>
      <c r="B31" s="33"/>
      <c r="C31" s="30"/>
      <c r="D31" s="30"/>
      <c r="E31" s="30"/>
      <c r="F31" s="30"/>
    </row>
    <row r="32">
      <c r="A32" s="30"/>
      <c r="B32" s="33"/>
      <c r="C32" s="30"/>
      <c r="D32" s="30"/>
      <c r="E32" s="30"/>
      <c r="F32" s="30"/>
    </row>
    <row r="33">
      <c r="A33" s="30"/>
      <c r="B33" s="33"/>
      <c r="C33" s="30"/>
      <c r="D33" s="30"/>
      <c r="E33" s="30"/>
      <c r="F33" s="30"/>
    </row>
    <row r="34">
      <c r="A34" s="30"/>
      <c r="B34" s="33"/>
      <c r="C34" s="30"/>
      <c r="D34" s="30"/>
      <c r="E34" s="30"/>
      <c r="F34" s="30"/>
    </row>
    <row r="35">
      <c r="A35" s="30"/>
      <c r="B35" s="33"/>
      <c r="C35" s="30"/>
      <c r="D35" s="30"/>
      <c r="E35" s="30"/>
      <c r="F35" s="30"/>
    </row>
    <row r="36">
      <c r="A36" s="30"/>
      <c r="B36" s="33"/>
      <c r="C36" s="30"/>
      <c r="D36" s="30"/>
      <c r="E36" s="30"/>
      <c r="F36" s="30"/>
    </row>
    <row r="37">
      <c r="A37" s="30"/>
      <c r="B37" s="33"/>
      <c r="C37" s="30"/>
      <c r="D37" s="30"/>
      <c r="E37" s="30"/>
      <c r="F37" s="30"/>
    </row>
    <row r="38">
      <c r="A38" s="30"/>
      <c r="B38" s="33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3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3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3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3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3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3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3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3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3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3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</sheetData>
  <mergeCells count="38">
    <mergeCell ref="O2:P2"/>
    <mergeCell ref="Q2:R2"/>
    <mergeCell ref="S2:T2"/>
    <mergeCell ref="U2:V2"/>
    <mergeCell ref="W2:X2"/>
    <mergeCell ref="Y2:Z2"/>
    <mergeCell ref="A1:E1"/>
    <mergeCell ref="Q1:R1"/>
    <mergeCell ref="A2:E2"/>
    <mergeCell ref="G2:H2"/>
    <mergeCell ref="I2:J2"/>
    <mergeCell ref="K2:L2"/>
    <mergeCell ref="M2:N2"/>
    <mergeCell ref="A3:A4"/>
    <mergeCell ref="B3:B4"/>
    <mergeCell ref="C3:C4"/>
    <mergeCell ref="D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W3:W4"/>
    <mergeCell ref="X3:X4"/>
    <mergeCell ref="Y3:Y4"/>
    <mergeCell ref="Z3:Z4"/>
    <mergeCell ref="P3:P4"/>
    <mergeCell ref="Q3:Q4"/>
    <mergeCell ref="R3:R4"/>
    <mergeCell ref="S3:S4"/>
    <mergeCell ref="T3:T4"/>
    <mergeCell ref="U3:U4"/>
    <mergeCell ref="V3:V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5.5"/>
    <col customWidth="1" min="2" max="2" width="11.13"/>
    <col customWidth="1" min="3" max="3" width="17.63"/>
    <col customWidth="1" min="4" max="4" width="12.63"/>
    <col customWidth="1" min="5" max="6" width="5.75"/>
  </cols>
  <sheetData>
    <row r="1">
      <c r="A1" s="1" t="s">
        <v>0</v>
      </c>
      <c r="B1" s="2"/>
      <c r="C1" s="2"/>
      <c r="D1" s="2"/>
      <c r="E1" s="3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</v>
      </c>
      <c r="B2" s="2"/>
      <c r="C2" s="2"/>
      <c r="D2" s="2"/>
      <c r="E2" s="3"/>
      <c r="F2" s="6"/>
      <c r="G2" s="7" t="s">
        <v>2</v>
      </c>
      <c r="H2" s="3"/>
      <c r="I2" s="7" t="s">
        <v>3</v>
      </c>
      <c r="J2" s="3"/>
      <c r="K2" s="7" t="s">
        <v>4</v>
      </c>
      <c r="L2" s="3"/>
      <c r="M2" s="7" t="s">
        <v>5</v>
      </c>
      <c r="N2" s="3"/>
      <c r="O2" s="7" t="s">
        <v>6</v>
      </c>
      <c r="P2" s="3"/>
      <c r="Q2" s="7" t="s">
        <v>7</v>
      </c>
      <c r="R2" s="3"/>
      <c r="S2" s="7" t="s">
        <v>8</v>
      </c>
      <c r="T2" s="3"/>
      <c r="U2" s="7" t="s">
        <v>9</v>
      </c>
      <c r="V2" s="3"/>
      <c r="W2" s="7" t="s">
        <v>10</v>
      </c>
      <c r="X2" s="3"/>
      <c r="Y2" s="7" t="s">
        <v>11</v>
      </c>
      <c r="Z2" s="3"/>
      <c r="AA2" s="7" t="s">
        <v>55</v>
      </c>
      <c r="AB2" s="3"/>
      <c r="AC2" s="7" t="s">
        <v>56</v>
      </c>
      <c r="AD2" s="3"/>
      <c r="AE2" s="7" t="s">
        <v>57</v>
      </c>
      <c r="AF2" s="3"/>
    </row>
    <row r="3">
      <c r="A3" s="8"/>
      <c r="B3" s="9" t="s">
        <v>12</v>
      </c>
      <c r="C3" s="9" t="s">
        <v>13</v>
      </c>
      <c r="D3" s="10" t="s">
        <v>14</v>
      </c>
      <c r="E3" s="11"/>
      <c r="F3" s="12" t="s">
        <v>15</v>
      </c>
      <c r="G3" s="13" t="s">
        <v>16</v>
      </c>
      <c r="H3" s="14" t="s">
        <v>17</v>
      </c>
      <c r="I3" s="13" t="s">
        <v>16</v>
      </c>
      <c r="J3" s="14" t="s">
        <v>17</v>
      </c>
      <c r="K3" s="13" t="s">
        <v>16</v>
      </c>
      <c r="L3" s="14" t="s">
        <v>17</v>
      </c>
      <c r="M3" s="13" t="s">
        <v>16</v>
      </c>
      <c r="N3" s="14" t="s">
        <v>17</v>
      </c>
      <c r="O3" s="13" t="s">
        <v>16</v>
      </c>
      <c r="P3" s="14" t="s">
        <v>17</v>
      </c>
      <c r="Q3" s="13" t="s">
        <v>16</v>
      </c>
      <c r="R3" s="14" t="s">
        <v>17</v>
      </c>
      <c r="S3" s="13" t="s">
        <v>16</v>
      </c>
      <c r="T3" s="14" t="s">
        <v>17</v>
      </c>
      <c r="U3" s="13" t="s">
        <v>16</v>
      </c>
      <c r="V3" s="14" t="s">
        <v>17</v>
      </c>
      <c r="W3" s="13" t="s">
        <v>16</v>
      </c>
      <c r="X3" s="14" t="s">
        <v>17</v>
      </c>
      <c r="Y3" s="13" t="s">
        <v>16</v>
      </c>
      <c r="Z3" s="14" t="s">
        <v>17</v>
      </c>
      <c r="AA3" s="13" t="s">
        <v>16</v>
      </c>
      <c r="AB3" s="14" t="s">
        <v>17</v>
      </c>
      <c r="AC3" s="13" t="s">
        <v>16</v>
      </c>
      <c r="AD3" s="14" t="s">
        <v>17</v>
      </c>
      <c r="AE3" s="13" t="s">
        <v>16</v>
      </c>
      <c r="AF3" s="14" t="s">
        <v>17</v>
      </c>
    </row>
    <row r="4">
      <c r="A4" s="15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21.0" customHeight="1">
      <c r="A5" s="23"/>
      <c r="B5" s="17" t="s">
        <v>18</v>
      </c>
      <c r="C5" s="18" t="s">
        <v>19</v>
      </c>
      <c r="D5" s="18" t="s">
        <v>19</v>
      </c>
      <c r="E5" s="18" t="s">
        <v>19</v>
      </c>
      <c r="F5" s="19">
        <f t="shared" ref="F5:F14" si="1">AVERAGE(H5,J5,L5,N5,P5,R5,T5,V5,X5,Z5,AB5,AD5,AF5)</f>
        <v>0.9785714286</v>
      </c>
      <c r="G5" s="20" t="s">
        <v>58</v>
      </c>
      <c r="H5" s="21">
        <f>IFERROR(__xludf.DUMMYFUNCTION("IF(G5="""","""",
 IF(UPPER(G5)=""N/A"",""N/A"",
  IFERROR( VALUE(INDEX(SPLIT(G5,""/""),1)) / VALUE(INDEX(SPLIT(G5,""/""),2)) , ""N/A"")
 )
)
"),0.9642857142857143)</f>
        <v>0.9642857143</v>
      </c>
      <c r="I5" s="22">
        <v>45940.0</v>
      </c>
      <c r="J5" s="21">
        <f>IFERROR(__xludf.DUMMYFUNCTION("IF(I5="""","""",
 IF(UPPER(I5)=""N/A"",""N/A"",
  IFERROR( VALUE(INDEX(SPLIT(I5,""/""),1)) / VALUE(INDEX(SPLIT(I5,""/""),2)) , ""N/A"")
 )
)
"),1.0)</f>
        <v>1</v>
      </c>
      <c r="K5" s="20" t="s">
        <v>24</v>
      </c>
      <c r="L5" s="21">
        <f>IFERROR(__xludf.DUMMYFUNCTION("IF(K5="""","""",
 IF(UPPER(K5)=""N/A"",""N/A"",
  IFERROR( VALUE(INDEX(SPLIT(K5,""/""),1)) / VALUE(INDEX(SPLIT(K5,""/""),2)) , ""N/A"")
 )
)
"),0.95)</f>
        <v>0.95</v>
      </c>
      <c r="M5" s="22">
        <v>46003.0</v>
      </c>
      <c r="N5" s="21">
        <f>IFERROR(__xludf.DUMMYFUNCTION("IF(M5="""","""",
 IF(UPPER(M5)=""N/A"",""N/A"",
  IFERROR( VALUE(INDEX(SPLIT(M5,""/""),1)) / VALUE(INDEX(SPLIT(M5,""/""),2)) , ""N/A"")
 )
)
"),1.0)</f>
        <v>1</v>
      </c>
      <c r="O5" s="20" t="s">
        <v>21</v>
      </c>
      <c r="P5" s="21" t="str">
        <f>IFERROR(__xludf.DUMMYFUNCTION("IF(O5="""","""",
 IF(UPPER(O5)=""N/A"",""N/A"",
  IFERROR( VALUE(INDEX(SPLIT(O5,""/""),1)) / VALUE(INDEX(SPLIT(O5,""/""),2)) , ""N/A"")
 )
)
"),"N/A")</f>
        <v>N/A</v>
      </c>
      <c r="Q5" s="27"/>
      <c r="R5" s="28"/>
      <c r="S5" s="27"/>
      <c r="T5" s="28"/>
      <c r="U5" s="27"/>
      <c r="V5" s="28"/>
      <c r="W5" s="27"/>
      <c r="X5" s="28"/>
      <c r="Y5" s="27"/>
      <c r="Z5" s="28"/>
      <c r="AA5" s="27"/>
      <c r="AB5" s="28"/>
      <c r="AC5" s="27"/>
      <c r="AD5" s="28"/>
      <c r="AE5" s="27"/>
      <c r="AF5" s="28"/>
    </row>
    <row r="6" ht="21.0" customHeight="1">
      <c r="A6" s="23"/>
      <c r="B6" s="24" t="s">
        <v>23</v>
      </c>
      <c r="C6" s="18" t="s">
        <v>19</v>
      </c>
      <c r="D6" s="18" t="s">
        <v>19</v>
      </c>
      <c r="E6" s="18" t="s">
        <v>19</v>
      </c>
      <c r="F6" s="19">
        <f t="shared" si="1"/>
        <v>0.99</v>
      </c>
      <c r="G6" s="20" t="s">
        <v>28</v>
      </c>
      <c r="H6" s="21">
        <f>IFERROR(__xludf.DUMMYFUNCTION("IF(G6="""","""",
 IF(UPPER(G6)=""N/A"",""N/A"",
  IFERROR( VALUE(INDEX(SPLIT(G6,""/""),1)) / VALUE(INDEX(SPLIT(G6,""/""),2)) , ""N/A"")
 )
)
"),1.0)</f>
        <v>1</v>
      </c>
      <c r="I6" s="22">
        <v>45940.0</v>
      </c>
      <c r="J6" s="21">
        <f>IFERROR(__xludf.DUMMYFUNCTION("IF(I6="""","""",
 IF(UPPER(I6)=""N/A"",""N/A"",
  IFERROR( VALUE(INDEX(SPLIT(I6,""/""),1)) / VALUE(INDEX(SPLIT(I6,""/""),2)) , ""N/A"")
 )
)
"),1.0)</f>
        <v>1</v>
      </c>
      <c r="K6" s="20" t="s">
        <v>24</v>
      </c>
      <c r="L6" s="21">
        <f>IFERROR(__xludf.DUMMYFUNCTION("IF(K6="""","""",
 IF(UPPER(K6)=""N/A"",""N/A"",
  IFERROR( VALUE(INDEX(SPLIT(K6,""/""),1)) / VALUE(INDEX(SPLIT(K6,""/""),2)) , ""N/A"")
 )
)
"),0.95)</f>
        <v>0.95</v>
      </c>
      <c r="M6" s="22">
        <v>46003.0</v>
      </c>
      <c r="N6" s="21">
        <f>IFERROR(__xludf.DUMMYFUNCTION("IF(M6="""","""",
 IF(UPPER(M6)=""N/A"",""N/A"",
  IFERROR( VALUE(INDEX(SPLIT(M6,""/""),1)) / VALUE(INDEX(SPLIT(M6,""/""),2)) , ""N/A"")
 )
)
"),1.0)</f>
        <v>1</v>
      </c>
      <c r="O6" s="22">
        <v>45940.0</v>
      </c>
      <c r="P6" s="21">
        <f>IFERROR(__xludf.DUMMYFUNCTION("IF(O6="""","""",
 IF(UPPER(O6)=""N/A"",""N/A"",
  IFERROR( VALUE(INDEX(SPLIT(O6,""/""),1)) / VALUE(INDEX(SPLIT(O6,""/""),2)) , ""N/A"")
 )
)
"),1.0)</f>
        <v>1</v>
      </c>
      <c r="Q6" s="29"/>
      <c r="R6" s="28"/>
      <c r="S6" s="27"/>
      <c r="T6" s="28"/>
      <c r="U6" s="29"/>
      <c r="V6" s="28"/>
      <c r="W6" s="27"/>
      <c r="X6" s="28"/>
      <c r="Y6" s="29"/>
      <c r="Z6" s="28"/>
      <c r="AA6" s="27"/>
      <c r="AB6" s="28"/>
      <c r="AC6" s="27"/>
      <c r="AD6" s="28"/>
      <c r="AE6" s="27"/>
      <c r="AF6" s="28"/>
    </row>
    <row r="7" ht="21.0" customHeight="1">
      <c r="A7" s="16"/>
      <c r="B7" s="24" t="s">
        <v>27</v>
      </c>
      <c r="C7" s="18" t="s">
        <v>19</v>
      </c>
      <c r="D7" s="18" t="s">
        <v>19</v>
      </c>
      <c r="E7" s="18" t="s">
        <v>19</v>
      </c>
      <c r="F7" s="19">
        <f t="shared" si="1"/>
        <v>0.9791666667</v>
      </c>
      <c r="G7" s="20" t="s">
        <v>28</v>
      </c>
      <c r="H7" s="21">
        <f>IFERROR(__xludf.DUMMYFUNCTION("IF(G7="""","""",
 IF(UPPER(G7)=""N/A"",""N/A"",
  IFERROR( VALUE(INDEX(SPLIT(G7,""/""),1)) / VALUE(INDEX(SPLIT(G7,""/""),2)) , ""N/A"")
 )
)
"),1.0)</f>
        <v>1</v>
      </c>
      <c r="I7" s="22">
        <v>45940.0</v>
      </c>
      <c r="J7" s="21">
        <f>IFERROR(__xludf.DUMMYFUNCTION("IF(I7="""","""",
 IF(UPPER(I7)=""N/A"",""N/A"",
  IFERROR( VALUE(INDEX(SPLIT(I7,""/""),1)) / VALUE(INDEX(SPLIT(I7,""/""),2)) , ""N/A"")
 )
)
"),1.0)</f>
        <v>1</v>
      </c>
      <c r="K7" s="20" t="s">
        <v>59</v>
      </c>
      <c r="L7" s="21">
        <f>IFERROR(__xludf.DUMMYFUNCTION("IF(K7="""","""",
 IF(UPPER(K7)=""N/A"",""N/A"",
  IFERROR( VALUE(INDEX(SPLIT(K7,""/""),1)) / VALUE(INDEX(SPLIT(K7,""/""),2)) , ""N/A"")
 )
)
"),0.75)</f>
        <v>0.75</v>
      </c>
      <c r="M7" s="22">
        <v>46003.0</v>
      </c>
      <c r="N7" s="21">
        <f>IFERROR(__xludf.DUMMYFUNCTION("IF(M7="""","""",
 IF(UPPER(M7)=""N/A"",""N/A"",
  IFERROR( VALUE(INDEX(SPLIT(M7,""/""),1)) / VALUE(INDEX(SPLIT(M7,""/""),2)) , ""N/A"")
 )
)
"),1.0)</f>
        <v>1</v>
      </c>
      <c r="O7" s="22">
        <v>45940.0</v>
      </c>
      <c r="P7" s="21">
        <f>IFERROR(__xludf.DUMMYFUNCTION("IF(O7="""","""",
 IF(UPPER(O7)=""N/A"",""N/A"",
  IFERROR( VALUE(INDEX(SPLIT(O7,""/""),1)) / VALUE(INDEX(SPLIT(O7,""/""),2)) , ""N/A"")
 )
)
"),1.0)</f>
        <v>1</v>
      </c>
      <c r="Q7" s="22">
        <v>46003.0</v>
      </c>
      <c r="R7" s="21">
        <f>IFERROR(__xludf.DUMMYFUNCTION("IF(Q7="""","""",
 IF(UPPER(Q7)=""N/A"",""N/A"",
  IFERROR( VALUE(INDEX(SPLIT(Q7,""/""),1)) / VALUE(INDEX(SPLIT(Q7,""/""),2)) , ""N/A"")
 )
)
"),1.0)</f>
        <v>1</v>
      </c>
      <c r="S7" s="22">
        <v>46003.0</v>
      </c>
      <c r="T7" s="21">
        <f>IFERROR(__xludf.DUMMYFUNCTION("IF(S7="""","""",
 IF(UPPER(S7)=""N/A"",""N/A"",
  IFERROR( VALUE(INDEX(SPLIT(S7,""/""),1)) / VALUE(INDEX(SPLIT(S7,""/""),2)) , ""N/A"")
 )
)
"),1.0)</f>
        <v>1</v>
      </c>
      <c r="U7" s="20" t="s">
        <v>22</v>
      </c>
      <c r="V7" s="21">
        <f>IFERROR(__xludf.DUMMYFUNCTION("IF(U7="""","""",
 IF(UPPER(U7)=""N/A"",""N/A"",
  IFERROR( VALUE(INDEX(SPLIT(U7,""/""),1)) / VALUE(INDEX(SPLIT(U7,""/""),2)) , ""N/A"")
 )
)
"),1.0)</f>
        <v>1</v>
      </c>
      <c r="W7" s="22">
        <v>45972.0</v>
      </c>
      <c r="X7" s="21">
        <f>IFERROR(__xludf.DUMMYFUNCTION("IF(W7="""","""",
 IF(UPPER(W7)=""N/A"",""N/A"",
  IFERROR( VALUE(INDEX(SPLIT(W7,""/""),1)) / VALUE(INDEX(SPLIT(W7,""/""),2)) , ""N/A"")
 )
)
"),1.0)</f>
        <v>1</v>
      </c>
      <c r="Y7" s="22">
        <v>45940.0</v>
      </c>
      <c r="Z7" s="21">
        <f>IFERROR(__xludf.DUMMYFUNCTION("IF(Y7="""","""",
 IF(UPPER(Y7)=""N/A"",""N/A"",
  IFERROR( VALUE(INDEX(SPLIT(Y7,""/""),1)) / VALUE(INDEX(SPLIT(Y7,""/""),2)) , ""N/A"")
 )
)
"),1.0)</f>
        <v>1</v>
      </c>
      <c r="AA7" s="22">
        <v>45940.0</v>
      </c>
      <c r="AB7" s="21">
        <f>IFERROR(__xludf.DUMMYFUNCTION("IF(AA7="""","""",
 IF(UPPER(AA7)=""N/A"",""N/A"",
  IFERROR( VALUE(INDEX(SPLIT(AA7,""/""),1)) / VALUE(INDEX(SPLIT(AA7,""/""),2)) , ""N/A"")
 )
)
"),1.0)</f>
        <v>1</v>
      </c>
      <c r="AC7" s="20" t="s">
        <v>28</v>
      </c>
      <c r="AD7" s="21">
        <f>IFERROR(__xludf.DUMMYFUNCTION("IF(AC7="""","""",
 IF(UPPER(AC7)=""N/A"",""N/A"",
  IFERROR( VALUE(INDEX(SPLIT(AC7,""/""),1)) / VALUE(INDEX(SPLIT(AC7,""/""),2)) , ""N/A"")
 )
)
"),1.0)</f>
        <v>1</v>
      </c>
      <c r="AE7" s="20" t="s">
        <v>21</v>
      </c>
      <c r="AF7" s="21" t="str">
        <f>IFERROR(__xludf.DUMMYFUNCTION("IF(AE7="""","""",
 IF(UPPER(AE7)=""N/A"",""N/A"",
  IFERROR( VALUE(INDEX(SPLIT(AE7,""/""),1)) / VALUE(INDEX(SPLIT(AE7,""/""),2)) , ""N/A"")
 )
)
"),"N/A")</f>
        <v>N/A</v>
      </c>
    </row>
    <row r="8" ht="21.0" customHeight="1">
      <c r="A8" s="16"/>
      <c r="B8" s="17" t="s">
        <v>31</v>
      </c>
      <c r="C8" s="18" t="s">
        <v>19</v>
      </c>
      <c r="D8" s="18" t="s">
        <v>19</v>
      </c>
      <c r="E8" s="18" t="s">
        <v>19</v>
      </c>
      <c r="F8" s="19">
        <f t="shared" si="1"/>
        <v>0.9763806706</v>
      </c>
      <c r="G8" s="20" t="s">
        <v>28</v>
      </c>
      <c r="H8" s="21">
        <f>IFERROR(__xludf.DUMMYFUNCTION("IF(G8="""","""",
 IF(UPPER(G8)=""N/A"",""N/A"",
  IFERROR( VALUE(INDEX(SPLIT(G8,""/""),1)) / VALUE(INDEX(SPLIT(G8,""/""),2)) , ""N/A"")
 )
)
"),1.0)</f>
        <v>1</v>
      </c>
      <c r="I8" s="22">
        <v>45910.0</v>
      </c>
      <c r="J8" s="21">
        <f>IFERROR(__xludf.DUMMYFUNCTION("IF(I8="""","""",
 IF(UPPER(I8)=""N/A"",""N/A"",
  IFERROR( VALUE(INDEX(SPLIT(I8,""/""),1)) / VALUE(INDEX(SPLIT(I8,""/""),2)) , ""N/A"")
 )
)
"),0.9)</f>
        <v>0.9</v>
      </c>
      <c r="K8" s="22">
        <v>45940.0</v>
      </c>
      <c r="L8" s="21">
        <f>IFERROR(__xludf.DUMMYFUNCTION("IF(K8="""","""",
 IF(UPPER(K8)=""N/A"",""N/A"",
  IFERROR( VALUE(INDEX(SPLIT(K8,""/""),1)) / VALUE(INDEX(SPLIT(K8,""/""),2)) , ""N/A"")
 )
)
"),1.0)</f>
        <v>1</v>
      </c>
      <c r="M8" s="22">
        <v>46003.0</v>
      </c>
      <c r="N8" s="21">
        <f>IFERROR(__xludf.DUMMYFUNCTION("IF(M8="""","""",
 IF(UPPER(M8)=""N/A"",""N/A"",
  IFERROR( VALUE(INDEX(SPLIT(M8,""/""),1)) / VALUE(INDEX(SPLIT(M8,""/""),2)) , ""N/A"")
 )
)
"),1.0)</f>
        <v>1</v>
      </c>
      <c r="O8" s="22">
        <v>45940.0</v>
      </c>
      <c r="P8" s="21">
        <f>IFERROR(__xludf.DUMMYFUNCTION("IF(O8="""","""",
 IF(UPPER(O8)=""N/A"",""N/A"",
  IFERROR( VALUE(INDEX(SPLIT(O8,""/""),1)) / VALUE(INDEX(SPLIT(O8,""/""),2)) , ""N/A"")
 )
)
"),1.0)</f>
        <v>1</v>
      </c>
      <c r="Q8" s="22">
        <v>46003.0</v>
      </c>
      <c r="R8" s="21">
        <f>IFERROR(__xludf.DUMMYFUNCTION("IF(Q8="""","""",
 IF(UPPER(Q8)=""N/A"",""N/A"",
  IFERROR( VALUE(INDEX(SPLIT(Q8,""/""),1)) / VALUE(INDEX(SPLIT(Q8,""/""),2)) , ""N/A"")
 )
)
"),1.0)</f>
        <v>1</v>
      </c>
      <c r="S8" s="20" t="s">
        <v>30</v>
      </c>
      <c r="T8" s="21">
        <f>IFERROR(__xludf.DUMMYFUNCTION("IF(S8="""","""",
 IF(UPPER(S8)=""N/A"",""N/A"",
  IFERROR( VALUE(INDEX(SPLIT(S8,""/""),1)) / VALUE(INDEX(SPLIT(S8,""/""),2)) , ""N/A"")
 )
)
"),0.9583333333333334)</f>
        <v>0.9583333333</v>
      </c>
      <c r="U8" s="20" t="s">
        <v>47</v>
      </c>
      <c r="V8" s="21">
        <f>IFERROR(__xludf.DUMMYFUNCTION("IF(U8="""","""",
 IF(UPPER(U8)=""N/A"",""N/A"",
  IFERROR( VALUE(INDEX(SPLIT(U8,""/""),1)) / VALUE(INDEX(SPLIT(U8,""/""),2)) , ""N/A"")
 )
)
"),0.8846153846153846)</f>
        <v>0.8846153846</v>
      </c>
      <c r="W8" s="22">
        <v>45972.0</v>
      </c>
      <c r="X8" s="21">
        <f>IFERROR(__xludf.DUMMYFUNCTION("IF(W8="""","""",
 IF(UPPER(W8)=""N/A"",""N/A"",
  IFERROR( VALUE(INDEX(SPLIT(W8,""/""),1)) / VALUE(INDEX(SPLIT(W8,""/""),2)) , ""N/A"")
 )
)
"),1.0)</f>
        <v>1</v>
      </c>
      <c r="Y8" s="20" t="s">
        <v>24</v>
      </c>
      <c r="Z8" s="21">
        <f>IFERROR(__xludf.DUMMYFUNCTION("IF(Y8="""","""",
 IF(UPPER(Y8)=""N/A"",""N/A"",
  IFERROR( VALUE(INDEX(SPLIT(Y8,""/""),1)) / VALUE(INDEX(SPLIT(Y8,""/""),2)) , ""N/A"")
 )
)
"),0.95)</f>
        <v>0.95</v>
      </c>
      <c r="AA8" s="22">
        <v>45940.0</v>
      </c>
      <c r="AB8" s="21">
        <f>IFERROR(__xludf.DUMMYFUNCTION("IF(AA8="""","""",
 IF(UPPER(AA8)=""N/A"",""N/A"",
  IFERROR( VALUE(INDEX(SPLIT(AA8,""/""),1)) / VALUE(INDEX(SPLIT(AA8,""/""),2)) , ""N/A"")
 )
)
"),1.0)</f>
        <v>1</v>
      </c>
      <c r="AC8" s="20" t="s">
        <v>28</v>
      </c>
      <c r="AD8" s="21">
        <f>IFERROR(__xludf.DUMMYFUNCTION("IF(AC8="""","""",
 IF(UPPER(AC8)=""N/A"",""N/A"",
  IFERROR( VALUE(INDEX(SPLIT(AC8,""/""),1)) / VALUE(INDEX(SPLIT(AC8,""/""),2)) , ""N/A"")
 )
)
"),1.0)</f>
        <v>1</v>
      </c>
      <c r="AE8" s="20" t="s">
        <v>60</v>
      </c>
      <c r="AF8" s="21">
        <f>IFERROR(__xludf.DUMMYFUNCTION("IF(AE8="""","""",
 IF(UPPER(AE8)=""N/A"",""N/A"",
  IFERROR( VALUE(INDEX(SPLIT(AE8,""/""),1)) / VALUE(INDEX(SPLIT(AE8,""/""),2)) , ""N/A"")
 )
)
"),1.0)</f>
        <v>1</v>
      </c>
    </row>
    <row r="9" ht="21.0" customHeight="1">
      <c r="A9" s="16"/>
      <c r="B9" s="17" t="s">
        <v>32</v>
      </c>
      <c r="C9" s="18" t="s">
        <v>19</v>
      </c>
      <c r="D9" s="18" t="s">
        <v>19</v>
      </c>
      <c r="E9" s="18" t="s">
        <v>19</v>
      </c>
      <c r="F9" s="19">
        <f t="shared" si="1"/>
        <v>0.935501998</v>
      </c>
      <c r="G9" s="20" t="s">
        <v>20</v>
      </c>
      <c r="H9" s="21">
        <f>IFERROR(__xludf.DUMMYFUNCTION("IF(G9="""","""",
 IF(UPPER(G9)=""N/A"",""N/A"",
  IFERROR( VALUE(INDEX(SPLIT(G9,""/""),1)) / VALUE(INDEX(SPLIT(G9,""/""),2)) , ""N/A"")
 )
)
"),0.9285714285714286)</f>
        <v>0.9285714286</v>
      </c>
      <c r="I9" s="20" t="s">
        <v>24</v>
      </c>
      <c r="J9" s="21">
        <f>IFERROR(__xludf.DUMMYFUNCTION("IF(I9="""","""",
 IF(UPPER(I9)=""N/A"",""N/A"",
  IFERROR( VALUE(INDEX(SPLIT(I9,""/""),1)) / VALUE(INDEX(SPLIT(I9,""/""),2)) , ""N/A"")
 )
)
"),0.95)</f>
        <v>0.95</v>
      </c>
      <c r="K9" s="22">
        <v>45940.0</v>
      </c>
      <c r="L9" s="21">
        <f>IFERROR(__xludf.DUMMYFUNCTION("IF(K9="""","""",
 IF(UPPER(K9)=""N/A"",""N/A"",
  IFERROR( VALUE(INDEX(SPLIT(K9,""/""),1)) / VALUE(INDEX(SPLIT(K9,""/""),2)) , ""N/A"")
 )
)
"),1.0)</f>
        <v>1</v>
      </c>
      <c r="M9" s="22">
        <v>46003.0</v>
      </c>
      <c r="N9" s="21">
        <f>IFERROR(__xludf.DUMMYFUNCTION("IF(M9="""","""",
 IF(UPPER(M9)=""N/A"",""N/A"",
  IFERROR( VALUE(INDEX(SPLIT(M9,""/""),1)) / VALUE(INDEX(SPLIT(M9,""/""),2)) , ""N/A"")
 )
)
"),1.0)</f>
        <v>1</v>
      </c>
      <c r="O9" s="22">
        <v>45940.0</v>
      </c>
      <c r="P9" s="21">
        <f>IFERROR(__xludf.DUMMYFUNCTION("IF(O9="""","""",
 IF(UPPER(O9)=""N/A"",""N/A"",
  IFERROR( VALUE(INDEX(SPLIT(O9,""/""),1)) / VALUE(INDEX(SPLIT(O9,""/""),2)) , ""N/A"")
 )
)
"),1.0)</f>
        <v>1</v>
      </c>
      <c r="Q9" s="22">
        <v>46003.0</v>
      </c>
      <c r="R9" s="21">
        <f>IFERROR(__xludf.DUMMYFUNCTION("IF(Q9="""","""",
 IF(UPPER(Q9)=""N/A"",""N/A"",
  IFERROR( VALUE(INDEX(SPLIT(Q9,""/""),1)) / VALUE(INDEX(SPLIT(Q9,""/""),2)) , ""N/A"")
 )
)
"),1.0)</f>
        <v>1</v>
      </c>
      <c r="S9" s="22">
        <v>46003.0</v>
      </c>
      <c r="T9" s="21">
        <f>IFERROR(__xludf.DUMMYFUNCTION("IF(S9="""","""",
 IF(UPPER(S9)=""N/A"",""N/A"",
  IFERROR( VALUE(INDEX(SPLIT(S9,""/""),1)) / VALUE(INDEX(SPLIT(S9,""/""),2)) , ""N/A"")
 )
)
"),1.0)</f>
        <v>1</v>
      </c>
      <c r="U9" s="22">
        <v>45974.0</v>
      </c>
      <c r="V9" s="21">
        <f>IFERROR(__xludf.DUMMYFUNCTION("IF(U9="""","""",
 IF(UPPER(U9)=""N/A"",""N/A"",
  IFERROR( VALUE(INDEX(SPLIT(U9,""/""),1)) / VALUE(INDEX(SPLIT(U9,""/""),2)) , ""N/A"")
 )
)
"),0.8461538461538461)</f>
        <v>0.8461538462</v>
      </c>
      <c r="W9" s="20" t="s">
        <v>61</v>
      </c>
      <c r="X9" s="21">
        <f>IFERROR(__xludf.DUMMYFUNCTION("IF(W9="""","""",
 IF(UPPER(W9)=""N/A"",""N/A"",
  IFERROR( VALUE(INDEX(SPLIT(W9,""/""),1)) / VALUE(INDEX(SPLIT(W9,""/""),2)) , ""N/A"")
 )
)
"),0.7727272727272727)</f>
        <v>0.7727272727</v>
      </c>
      <c r="Y9" s="22">
        <v>45940.0</v>
      </c>
      <c r="Z9" s="21">
        <f>IFERROR(__xludf.DUMMYFUNCTION("IF(Y9="""","""",
 IF(UPPER(Y9)=""N/A"",""N/A"",
  IFERROR( VALUE(INDEX(SPLIT(Y9,""/""),1)) / VALUE(INDEX(SPLIT(Y9,""/""),2)) , ""N/A"")
 )
)
"),1.0)</f>
        <v>1</v>
      </c>
      <c r="AA9" s="22">
        <v>45879.0</v>
      </c>
      <c r="AB9" s="21">
        <f>IFERROR(__xludf.DUMMYFUNCTION("IF(AA9="""","""",
 IF(UPPER(AA9)=""N/A"",""N/A"",
  IFERROR( VALUE(INDEX(SPLIT(AA9,""/""),1)) / VALUE(INDEX(SPLIT(AA9,""/""),2)) , ""N/A"")
 )
)
"),0.8)</f>
        <v>0.8</v>
      </c>
      <c r="AC9" s="20" t="s">
        <v>20</v>
      </c>
      <c r="AD9" s="21">
        <f>IFERROR(__xludf.DUMMYFUNCTION("IF(AC9="""","""",
 IF(UPPER(AC9)=""N/A"",""N/A"",
  IFERROR( VALUE(INDEX(SPLIT(AC9,""/""),1)) / VALUE(INDEX(SPLIT(AC9,""/""),2)) , ""N/A"")
 )
)
"),0.9285714285714286)</f>
        <v>0.9285714286</v>
      </c>
      <c r="AE9" s="20" t="s">
        <v>21</v>
      </c>
      <c r="AF9" s="21" t="str">
        <f>IFERROR(__xludf.DUMMYFUNCTION("IF(AE9="""","""",
 IF(UPPER(AE9)=""N/A"",""N/A"",
  IFERROR( VALUE(INDEX(SPLIT(AE9,""/""),1)) / VALUE(INDEX(SPLIT(AE9,""/""),2)) , ""N/A"")
 )
)
"),"N/A")</f>
        <v>N/A</v>
      </c>
    </row>
    <row r="10" ht="21.0" customHeight="1">
      <c r="A10" s="16"/>
      <c r="B10" s="24" t="s">
        <v>33</v>
      </c>
      <c r="C10" s="18" t="s">
        <v>19</v>
      </c>
      <c r="D10" s="18" t="s">
        <v>19</v>
      </c>
      <c r="E10" s="18" t="s">
        <v>19</v>
      </c>
      <c r="F10" s="19">
        <f t="shared" si="1"/>
        <v>0.7272510823</v>
      </c>
      <c r="G10" s="20" t="s">
        <v>20</v>
      </c>
      <c r="H10" s="21">
        <f>IFERROR(__xludf.DUMMYFUNCTION("IF(G10="""","""",
 IF(UPPER(G10)=""N/A"",""N/A"",
  IFERROR( VALUE(INDEX(SPLIT(G10,""/""),1)) / VALUE(INDEX(SPLIT(G10,""/""),2)) , ""N/A"")
 )
)
"),0.9285714285714286)</f>
        <v>0.9285714286</v>
      </c>
      <c r="I10" s="20" t="s">
        <v>41</v>
      </c>
      <c r="J10" s="21">
        <f>IFERROR(__xludf.DUMMYFUNCTION("IF(I10="""","""",
 IF(UPPER(I10)=""N/A"",""N/A"",
  IFERROR( VALUE(INDEX(SPLIT(I10,""/""),1)) / VALUE(INDEX(SPLIT(I10,""/""),2)) , ""N/A"")
 )
)
"),0.85)</f>
        <v>0.85</v>
      </c>
      <c r="K10" s="20" t="s">
        <v>41</v>
      </c>
      <c r="L10" s="21">
        <f>IFERROR(__xludf.DUMMYFUNCTION("IF(K10="""","""",
 IF(UPPER(K10)=""N/A"",""N/A"",
  IFERROR( VALUE(INDEX(SPLIT(K10,""/""),1)) / VALUE(INDEX(SPLIT(K10,""/""),2)) , ""N/A"")
 )
)
"),0.85)</f>
        <v>0.85</v>
      </c>
      <c r="M10" s="22">
        <v>45850.0</v>
      </c>
      <c r="N10" s="21">
        <f>IFERROR(__xludf.DUMMYFUNCTION("IF(M10="""","""",
 IF(UPPER(M10)=""N/A"",""N/A"",
  IFERROR( VALUE(INDEX(SPLIT(M10,""/""),1)) / VALUE(INDEX(SPLIT(M10,""/""),2)) , ""N/A"")
 )
)
"),0.5833333333333334)</f>
        <v>0.5833333333</v>
      </c>
      <c r="O10" s="22">
        <v>45910.0</v>
      </c>
      <c r="P10" s="21">
        <f>IFERROR(__xludf.DUMMYFUNCTION("IF(O10="""","""",
 IF(UPPER(O10)=""N/A"",""N/A"",
  IFERROR( VALUE(INDEX(SPLIT(O10,""/""),1)) / VALUE(INDEX(SPLIT(O10,""/""),2)) , ""N/A"")
 )
)
"),0.9)</f>
        <v>0.9</v>
      </c>
      <c r="Q10" s="22">
        <v>45850.0</v>
      </c>
      <c r="R10" s="21">
        <f>IFERROR(__xludf.DUMMYFUNCTION("IF(Q10="""","""",
 IF(UPPER(Q10)=""N/A"",""N/A"",
  IFERROR( VALUE(INDEX(SPLIT(Q10,""/""),1)) / VALUE(INDEX(SPLIT(Q10,""/""),2)) , ""N/A"")
 )
)
"),0.5833333333333334)</f>
        <v>0.5833333333</v>
      </c>
      <c r="S10" s="22">
        <v>45728.0</v>
      </c>
      <c r="T10" s="21">
        <f>IFERROR(__xludf.DUMMYFUNCTION("IF(S10="""","""",
 IF(UPPER(S10)=""N/A"",""N/A"",
  IFERROR( VALUE(INDEX(SPLIT(S10,""/""),1)) / VALUE(INDEX(SPLIT(S10,""/""),2)) , ""N/A"")
 )
)
"),0.25)</f>
        <v>0.25</v>
      </c>
      <c r="U10" s="20" t="s">
        <v>22</v>
      </c>
      <c r="V10" s="21">
        <f>IFERROR(__xludf.DUMMYFUNCTION("IF(U10="""","""",
 IF(UPPER(U10)=""N/A"",""N/A"",
  IFERROR( VALUE(INDEX(SPLIT(U10,""/""),1)) / VALUE(INDEX(SPLIT(U10,""/""),2)) , ""N/A"")
 )
)
"),1.0)</f>
        <v>1</v>
      </c>
      <c r="W10" s="22">
        <v>45880.0</v>
      </c>
      <c r="X10" s="21">
        <f>IFERROR(__xludf.DUMMYFUNCTION("IF(W10="""","""",
 IF(UPPER(W10)=""N/A"",""N/A"",
  IFERROR( VALUE(INDEX(SPLIT(W10,""/""),1)) / VALUE(INDEX(SPLIT(W10,""/""),2)) , ""N/A"")
 )
)
"),0.7272727272727273)</f>
        <v>0.7272727273</v>
      </c>
      <c r="Y10" s="22">
        <v>45818.0</v>
      </c>
      <c r="Z10" s="21">
        <f>IFERROR(__xludf.DUMMYFUNCTION("IF(Y10="""","""",
 IF(UPPER(Y10)=""N/A"",""N/A"",
  IFERROR( VALUE(INDEX(SPLIT(Y10,""/""),1)) / VALUE(INDEX(SPLIT(Y10,""/""),2)) , ""N/A"")
 )
)
"),0.6)</f>
        <v>0.6</v>
      </c>
      <c r="AA10" s="20" t="s">
        <v>21</v>
      </c>
      <c r="AB10" s="21" t="str">
        <f>IFERROR(__xludf.DUMMYFUNCTION("IF(AA10="""","""",
 IF(UPPER(AA10)=""N/A"",""N/A"",
  IFERROR( VALUE(INDEX(SPLIT(AA10,""/""),1)) / VALUE(INDEX(SPLIT(AA10,""/""),2)) , ""N/A"")
 )
)
"),"N/A")</f>
        <v>N/A</v>
      </c>
      <c r="AC10" s="20" t="s">
        <v>21</v>
      </c>
      <c r="AD10" s="21" t="str">
        <f>IFERROR(__xludf.DUMMYFUNCTION("IF(AC10="""","""",
 IF(UPPER(AC10)=""N/A"",""N/A"",
  IFERROR( VALUE(INDEX(SPLIT(AC10,""/""),1)) / VALUE(INDEX(SPLIT(AC10,""/""),2)) , ""N/A"")
 )
)
"),"N/A")</f>
        <v>N/A</v>
      </c>
      <c r="AE10" s="20" t="s">
        <v>21</v>
      </c>
      <c r="AF10" s="21" t="str">
        <f>IFERROR(__xludf.DUMMYFUNCTION("IF(AE10="""","""",
 IF(UPPER(AE10)=""N/A"",""N/A"",
  IFERROR( VALUE(INDEX(SPLIT(AE10,""/""),1)) / VALUE(INDEX(SPLIT(AE10,""/""),2)) , ""N/A"")
 )
)
"),"N/A")</f>
        <v>N/A</v>
      </c>
    </row>
    <row r="11" ht="21.0" customHeight="1">
      <c r="A11" s="16"/>
      <c r="B11" s="24" t="s">
        <v>36</v>
      </c>
      <c r="C11" s="18" t="s">
        <v>19</v>
      </c>
      <c r="D11" s="18" t="s">
        <v>19</v>
      </c>
      <c r="E11" s="18" t="s">
        <v>19</v>
      </c>
      <c r="F11" s="19">
        <f t="shared" si="1"/>
        <v>0.752225659</v>
      </c>
      <c r="G11" s="22">
        <v>45975.0</v>
      </c>
      <c r="H11" s="21">
        <f>IFERROR(__xludf.DUMMYFUNCTION("IF(G11="""","""",
 IF(UPPER(G11)=""N/A"",""N/A"",
  IFERROR( VALUE(INDEX(SPLIT(G11,""/""),1)) / VALUE(INDEX(SPLIT(G11,""/""),2)) , ""N/A"")
 )
)
"),0.7857142857142857)</f>
        <v>0.7857142857</v>
      </c>
      <c r="I11" s="20" t="s">
        <v>41</v>
      </c>
      <c r="J11" s="21">
        <f>IFERROR(__xludf.DUMMYFUNCTION("IF(I11="""","""",
 IF(UPPER(I11)=""N/A"",""N/A"",
  IFERROR( VALUE(INDEX(SPLIT(I11,""/""),1)) / VALUE(INDEX(SPLIT(I11,""/""),2)) , ""N/A"")
 )
)
"),0.85)</f>
        <v>0.85</v>
      </c>
      <c r="K11" s="22">
        <v>45879.0</v>
      </c>
      <c r="L11" s="21">
        <f>IFERROR(__xludf.DUMMYFUNCTION("IF(K11="""","""",
 IF(UPPER(K11)=""N/A"",""N/A"",
  IFERROR( VALUE(INDEX(SPLIT(K11,""/""),1)) / VALUE(INDEX(SPLIT(K11,""/""),2)) , ""N/A"")
 )
)
"),0.8)</f>
        <v>0.8</v>
      </c>
      <c r="M11" s="22">
        <v>46003.0</v>
      </c>
      <c r="N11" s="21">
        <f>IFERROR(__xludf.DUMMYFUNCTION("IF(M11="""","""",
 IF(UPPER(M11)=""N/A"",""N/A"",
  IFERROR( VALUE(INDEX(SPLIT(M11,""/""),1)) / VALUE(INDEX(SPLIT(M11,""/""),2)) , ""N/A"")
 )
)
"),1.0)</f>
        <v>1</v>
      </c>
      <c r="O11" s="22">
        <v>45879.0</v>
      </c>
      <c r="P11" s="21">
        <f>IFERROR(__xludf.DUMMYFUNCTION("IF(O11="""","""",
 IF(UPPER(O11)=""N/A"",""N/A"",
  IFERROR( VALUE(INDEX(SPLIT(O11,""/""),1)) / VALUE(INDEX(SPLIT(O11,""/""),2)) , ""N/A"")
 )
)
"),0.8)</f>
        <v>0.8</v>
      </c>
      <c r="Q11" s="22">
        <v>45942.0</v>
      </c>
      <c r="R11" s="21">
        <f>IFERROR(__xludf.DUMMYFUNCTION("IF(Q11="""","""",
 IF(UPPER(Q11)=""N/A"",""N/A"",
  IFERROR( VALUE(INDEX(SPLIT(Q11,""/""),1)) / VALUE(INDEX(SPLIT(Q11,""/""),2)) , ""N/A"")
 )
)
"),0.8333333333333334)</f>
        <v>0.8333333333</v>
      </c>
      <c r="S11" s="22">
        <v>45973.0</v>
      </c>
      <c r="T11" s="21">
        <f>IFERROR(__xludf.DUMMYFUNCTION("IF(S11="""","""",
 IF(UPPER(S11)=""N/A"",""N/A"",
  IFERROR( VALUE(INDEX(SPLIT(S11,""/""),1)) / VALUE(INDEX(SPLIT(S11,""/""),2)) , ""N/A"")
 )
)
"),0.9166666666666666)</f>
        <v>0.9166666667</v>
      </c>
      <c r="U11" s="22">
        <v>45790.0</v>
      </c>
      <c r="V11" s="21">
        <f>IFERROR(__xludf.DUMMYFUNCTION("IF(U11="""","""",
 IF(UPPER(U11)=""N/A"",""N/A"",
  IFERROR( VALUE(INDEX(SPLIT(U11,""/""),1)) / VALUE(INDEX(SPLIT(U11,""/""),2)) , ""N/A"")
 )
)
"),0.38461538461538464)</f>
        <v>0.3846153846</v>
      </c>
      <c r="W11" s="20" t="s">
        <v>62</v>
      </c>
      <c r="X11" s="21">
        <f>IFERROR(__xludf.DUMMYFUNCTION("IF(W11="""","""",
 IF(UPPER(W11)=""N/A"",""N/A"",
  IFERROR( VALUE(INDEX(SPLIT(W11,""/""),1)) / VALUE(INDEX(SPLIT(W11,""/""),2)) , ""N/A"")
 )
)
"),0.6818181818181818)</f>
        <v>0.6818181818</v>
      </c>
      <c r="Y11" s="20" t="s">
        <v>25</v>
      </c>
      <c r="Z11" s="21">
        <f>IFERROR(__xludf.DUMMYFUNCTION("IF(Y11="""","""",
 IF(UPPER(Y11)=""N/A"",""N/A"",
  IFERROR( VALUE(INDEX(SPLIT(Y11,""/""),1)) / VALUE(INDEX(SPLIT(Y11,""/""),2)) , ""N/A"")
 )
)
"),0.65)</f>
        <v>0.65</v>
      </c>
      <c r="AA11" s="20" t="s">
        <v>63</v>
      </c>
      <c r="AB11" s="21">
        <f>IFERROR(__xludf.DUMMYFUNCTION("IF(AA11="""","""",
 IF(UPPER(AA11)=""N/A"",""N/A"",
  IFERROR( VALUE(INDEX(SPLIT(AA11,""/""),1)) / VALUE(INDEX(SPLIT(AA11,""/""),2)) , ""N/A"")
 )
)
"),0.55)</f>
        <v>0.55</v>
      </c>
      <c r="AC11" s="22">
        <v>45944.0</v>
      </c>
      <c r="AD11" s="21">
        <f>IFERROR(__xludf.DUMMYFUNCTION("IF(AC11="""","""",
 IF(UPPER(AC11)=""N/A"",""N/A"",
  IFERROR( VALUE(INDEX(SPLIT(AC11,""/""),1)) / VALUE(INDEX(SPLIT(AC11,""/""),2)) , ""N/A"")
 )
)
"),0.7142857142857143)</f>
        <v>0.7142857143</v>
      </c>
      <c r="AE11" s="20" t="s">
        <v>64</v>
      </c>
      <c r="AF11" s="21">
        <f>IFERROR(__xludf.DUMMYFUNCTION("IF(AE11="""","""",
 IF(UPPER(AE11)=""N/A"",""N/A"",
  IFERROR( VALUE(INDEX(SPLIT(AE11,""/""),1)) / VALUE(INDEX(SPLIT(AE11,""/""),2)) , ""N/A"")
 )
)
"),0.8125)</f>
        <v>0.8125</v>
      </c>
    </row>
    <row r="12" ht="21.0" customHeight="1">
      <c r="A12" s="16"/>
      <c r="B12" s="17" t="s">
        <v>37</v>
      </c>
      <c r="C12" s="18" t="s">
        <v>19</v>
      </c>
      <c r="D12" s="18" t="s">
        <v>19</v>
      </c>
      <c r="E12" s="18" t="s">
        <v>19</v>
      </c>
      <c r="F12" s="19">
        <f t="shared" si="1"/>
        <v>0.8142857143</v>
      </c>
      <c r="G12" s="20" t="s">
        <v>65</v>
      </c>
      <c r="H12" s="21">
        <f>IFERROR(__xludf.DUMMYFUNCTION("IF(G12="""","""",
 IF(UPPER(G12)=""N/A"",""N/A"",
  IFERROR( VALUE(INDEX(SPLIT(G12,""/""),1)) / VALUE(INDEX(SPLIT(G12,""/""),2)) , ""N/A"")
 )
)
"),0.8928571428571429)</f>
        <v>0.8928571429</v>
      </c>
      <c r="I12" s="22">
        <v>45879.0</v>
      </c>
      <c r="J12" s="21">
        <f>IFERROR(__xludf.DUMMYFUNCTION("IF(I12="""","""",
 IF(UPPER(I12)=""N/A"",""N/A"",
  IFERROR( VALUE(INDEX(SPLIT(I12,""/""),1)) / VALUE(INDEX(SPLIT(I12,""/""),2)) , ""N/A"")
 )
)
"),0.8)</f>
        <v>0.8</v>
      </c>
      <c r="K12" s="20" t="s">
        <v>59</v>
      </c>
      <c r="L12" s="21">
        <f>IFERROR(__xludf.DUMMYFUNCTION("IF(K12="""","""",
 IF(UPPER(K12)=""N/A"",""N/A"",
  IFERROR( VALUE(INDEX(SPLIT(K12,""/""),1)) / VALUE(INDEX(SPLIT(K12,""/""),2)) , ""N/A"")
 )
)
"),0.75)</f>
        <v>0.75</v>
      </c>
      <c r="M12" s="20" t="s">
        <v>21</v>
      </c>
      <c r="N12" s="21" t="str">
        <f>IFERROR(__xludf.DUMMYFUNCTION("IF(M12="""","""",
 IF(UPPER(M12)=""N/A"",""N/A"",
  IFERROR( VALUE(INDEX(SPLIT(M12,""/""),1)) / VALUE(INDEX(SPLIT(M12,""/""),2)) , ""N/A"")
 )
)
"),"N/A")</f>
        <v>N/A</v>
      </c>
      <c r="O12" s="20" t="s">
        <v>21</v>
      </c>
      <c r="P12" s="21" t="str">
        <f>IFERROR(__xludf.DUMMYFUNCTION("IF(O12="""","""",
 IF(UPPER(O12)=""N/A"",""N/A"",
  IFERROR( VALUE(INDEX(SPLIT(O12,""/""),1)) / VALUE(INDEX(SPLIT(O12,""/""),2)) , ""N/A"")
 )
)
"),"N/A")</f>
        <v>N/A</v>
      </c>
      <c r="Q12" s="20" t="s">
        <v>21</v>
      </c>
      <c r="R12" s="21" t="str">
        <f>IFERROR(__xludf.DUMMYFUNCTION("IF(Q12="""","""",
 IF(UPPER(Q12)=""N/A"",""N/A"",
  IFERROR( VALUE(INDEX(SPLIT(Q12,""/""),1)) / VALUE(INDEX(SPLIT(Q12,""/""),2)) , ""N/A"")
 )
)
"),"N/A")</f>
        <v>N/A</v>
      </c>
      <c r="S12" s="20" t="s">
        <v>21</v>
      </c>
      <c r="T12" s="21" t="str">
        <f>IFERROR(__xludf.DUMMYFUNCTION("IF(S12="""","""",
 IF(UPPER(S12)=""N/A"",""N/A"",
  IFERROR( VALUE(INDEX(SPLIT(S12,""/""),1)) / VALUE(INDEX(SPLIT(S12,""/""),2)) , ""N/A"")
 )
)
"),"N/A")</f>
        <v>N/A</v>
      </c>
      <c r="U12" s="20" t="s">
        <v>21</v>
      </c>
      <c r="V12" s="21" t="str">
        <f>IFERROR(__xludf.DUMMYFUNCTION("IF(U12="""","""",
 IF(UPPER(U12)=""N/A"",""N/A"",
  IFERROR( VALUE(INDEX(SPLIT(U12,""/""),1)) / VALUE(INDEX(SPLIT(U12,""/""),2)) , ""N/A"")
 )
)
"),"N/A")</f>
        <v>N/A</v>
      </c>
      <c r="W12" s="20" t="s">
        <v>21</v>
      </c>
      <c r="X12" s="21" t="str">
        <f>IFERROR(__xludf.DUMMYFUNCTION("IF(W12="""","""",
 IF(UPPER(W12)=""N/A"",""N/A"",
  IFERROR( VALUE(INDEX(SPLIT(W12,""/""),1)) / VALUE(INDEX(SPLIT(W12,""/""),2)) , ""N/A"")
 )
)
"),"N/A")</f>
        <v>N/A</v>
      </c>
      <c r="Y12" s="20" t="s">
        <v>21</v>
      </c>
      <c r="Z12" s="21" t="str">
        <f>IFERROR(__xludf.DUMMYFUNCTION("IF(Y12="""","""",
 IF(UPPER(Y12)=""N/A"",""N/A"",
  IFERROR( VALUE(INDEX(SPLIT(Y12,""/""),1)) / VALUE(INDEX(SPLIT(Y12,""/""),2)) , ""N/A"")
 )
)
"),"N/A")</f>
        <v>N/A</v>
      </c>
      <c r="AA12" s="20" t="s">
        <v>21</v>
      </c>
      <c r="AB12" s="21" t="str">
        <f>IFERROR(__xludf.DUMMYFUNCTION("IF(AA12="""","""",
 IF(UPPER(AA12)=""N/A"",""N/A"",
  IFERROR( VALUE(INDEX(SPLIT(AA12,""/""),1)) / VALUE(INDEX(SPLIT(AA12,""/""),2)) , ""N/A"")
 )
)
"),"N/A")</f>
        <v>N/A</v>
      </c>
      <c r="AC12" s="20" t="s">
        <v>21</v>
      </c>
      <c r="AD12" s="21" t="str">
        <f>IFERROR(__xludf.DUMMYFUNCTION("IF(AC12="""","""",
 IF(UPPER(AC12)=""N/A"",""N/A"",
  IFERROR( VALUE(INDEX(SPLIT(AC12,""/""),1)) / VALUE(INDEX(SPLIT(AC12,""/""),2)) , ""N/A"")
 )
)
"),"N/A")</f>
        <v>N/A</v>
      </c>
      <c r="AE12" s="20" t="s">
        <v>21</v>
      </c>
      <c r="AF12" s="21" t="str">
        <f>IFERROR(__xludf.DUMMYFUNCTION("IF(AE12="""","""",
 IF(UPPER(AE12)=""N/A"",""N/A"",
  IFERROR( VALUE(INDEX(SPLIT(AE12,""/""),1)) / VALUE(INDEX(SPLIT(AE12,""/""),2)) , ""N/A"")
 )
)
"),"N/A")</f>
        <v>N/A</v>
      </c>
    </row>
    <row r="13" ht="21.0" customHeight="1">
      <c r="A13" s="16"/>
      <c r="B13" s="17" t="s">
        <v>39</v>
      </c>
      <c r="C13" s="18" t="s">
        <v>19</v>
      </c>
      <c r="D13" s="18" t="s">
        <v>19</v>
      </c>
      <c r="E13" s="18" t="s">
        <v>19</v>
      </c>
      <c r="F13" s="19">
        <f t="shared" si="1"/>
        <v>0.8789007867</v>
      </c>
      <c r="G13" s="27"/>
      <c r="H13" s="28"/>
      <c r="I13" s="27"/>
      <c r="J13" s="28"/>
      <c r="K13" s="27"/>
      <c r="L13" s="28"/>
      <c r="M13" s="27"/>
      <c r="N13" s="28"/>
      <c r="O13" s="27"/>
      <c r="P13" s="28"/>
      <c r="Q13" s="22">
        <v>45973.0</v>
      </c>
      <c r="R13" s="21">
        <f>IFERROR(__xludf.DUMMYFUNCTION("IF(Q13="""","""",
 IF(UPPER(Q13)=""N/A"",""N/A"",
  IFERROR( VALUE(INDEX(SPLIT(Q13,""/""),1)) / VALUE(INDEX(SPLIT(Q13,""/""),2)) , ""N/A"")
 )
)
"),0.9166666666666666)</f>
        <v>0.9166666667</v>
      </c>
      <c r="S13" s="22">
        <v>45850.0</v>
      </c>
      <c r="T13" s="21">
        <f>IFERROR(__xludf.DUMMYFUNCTION("IF(S13="""","""",
 IF(UPPER(S13)=""N/A"",""N/A"",
  IFERROR( VALUE(INDEX(SPLIT(S13,""/""),1)) / VALUE(INDEX(SPLIT(S13,""/""),2)) , ""N/A"")
 )
)
"),0.5833333333333334)</f>
        <v>0.5833333333</v>
      </c>
      <c r="U13" s="20" t="s">
        <v>47</v>
      </c>
      <c r="V13" s="21">
        <f>IFERROR(__xludf.DUMMYFUNCTION("IF(U13="""","""",
 IF(UPPER(U13)=""N/A"",""N/A"",
  IFERROR( VALUE(INDEX(SPLIT(U13,""/""),1)) / VALUE(INDEX(SPLIT(U13,""/""),2)) , ""N/A"")
 )
)
"),0.8846153846153846)</f>
        <v>0.8846153846</v>
      </c>
      <c r="W13" s="22">
        <v>45941.0</v>
      </c>
      <c r="X13" s="21">
        <f>IFERROR(__xludf.DUMMYFUNCTION("IF(W13="""","""",
 IF(UPPER(W13)=""N/A"",""N/A"",
  IFERROR( VALUE(INDEX(SPLIT(W13,""/""),1)) / VALUE(INDEX(SPLIT(W13,""/""),2)) , ""N/A"")
 )
)
"),0.9090909090909091)</f>
        <v>0.9090909091</v>
      </c>
      <c r="Y13" s="22">
        <v>45940.0</v>
      </c>
      <c r="Z13" s="21">
        <f>IFERROR(__xludf.DUMMYFUNCTION("IF(Y13="""","""",
 IF(UPPER(Y13)=""N/A"",""N/A"",
  IFERROR( VALUE(INDEX(SPLIT(Y13,""/""),1)) / VALUE(INDEX(SPLIT(Y13,""/""),2)) , ""N/A"")
 )
)
"),1.0)</f>
        <v>1</v>
      </c>
      <c r="AA13" s="22">
        <v>45879.0</v>
      </c>
      <c r="AB13" s="21">
        <f>IFERROR(__xludf.DUMMYFUNCTION("IF(AA13="""","""",
 IF(UPPER(AA13)=""N/A"",""N/A"",
  IFERROR( VALUE(INDEX(SPLIT(AA13,""/""),1)) / VALUE(INDEX(SPLIT(AA13,""/""),2)) , ""N/A"")
 )
)
"),0.8)</f>
        <v>0.8</v>
      </c>
      <c r="AC13" s="20" t="s">
        <v>28</v>
      </c>
      <c r="AD13" s="21">
        <f>IFERROR(__xludf.DUMMYFUNCTION("IF(AC13="""","""",
 IF(UPPER(AC13)=""N/A"",""N/A"",
  IFERROR( VALUE(INDEX(SPLIT(AC13,""/""),1)) / VALUE(INDEX(SPLIT(AC13,""/""),2)) , ""N/A"")
 )
)
"),1.0)</f>
        <v>1</v>
      </c>
      <c r="AE13" s="20" t="s">
        <v>66</v>
      </c>
      <c r="AF13" s="21">
        <f>IFERROR(__xludf.DUMMYFUNCTION("IF(AE13="""","""",
 IF(UPPER(AE13)=""N/A"",""N/A"",
  IFERROR( VALUE(INDEX(SPLIT(AE13,""/""),1)) / VALUE(INDEX(SPLIT(AE13,""/""),2)) , ""N/A"")
 )
)
"),0.9375)</f>
        <v>0.9375</v>
      </c>
    </row>
    <row r="14" ht="21.0" customHeight="1">
      <c r="A14" s="16"/>
      <c r="B14" s="24" t="s">
        <v>40</v>
      </c>
      <c r="C14" s="18" t="s">
        <v>19</v>
      </c>
      <c r="D14" s="18" t="s">
        <v>19</v>
      </c>
      <c r="E14" s="18" t="s">
        <v>19</v>
      </c>
      <c r="F14" s="26" t="str">
        <f t="shared" si="1"/>
        <v>#DIV/0!</v>
      </c>
      <c r="G14" s="27"/>
      <c r="H14" s="28"/>
      <c r="I14" s="27"/>
      <c r="J14" s="28"/>
      <c r="K14" s="27"/>
      <c r="L14" s="28"/>
      <c r="M14" s="20" t="s">
        <v>21</v>
      </c>
      <c r="N14" s="21" t="str">
        <f>IFERROR(__xludf.DUMMYFUNCTION("IF(M14="""","""",
 IF(UPPER(M14)=""N/A"",""N/A"",
  IFERROR( VALUE(INDEX(SPLIT(M14,""/""),1)) / VALUE(INDEX(SPLIT(M14,""/""),2)) , ""N/A"")
 )
)
"),"N/A")</f>
        <v>N/A</v>
      </c>
      <c r="O14" s="20" t="s">
        <v>21</v>
      </c>
      <c r="P14" s="21" t="str">
        <f>IFERROR(__xludf.DUMMYFUNCTION("IF(O14="""","""",
 IF(UPPER(O14)=""N/A"",""N/A"",
  IFERROR( VALUE(INDEX(SPLIT(O14,""/""),1)) / VALUE(INDEX(SPLIT(O14,""/""),2)) , ""N/A"")
 )
)
"),"N/A")</f>
        <v>N/A</v>
      </c>
      <c r="Q14" s="20" t="s">
        <v>21</v>
      </c>
      <c r="R14" s="21" t="str">
        <f>IFERROR(__xludf.DUMMYFUNCTION("IF(Q14="""","""",
 IF(UPPER(Q14)=""N/A"",""N/A"",
  IFERROR( VALUE(INDEX(SPLIT(Q14,""/""),1)) / VALUE(INDEX(SPLIT(Q14,""/""),2)) , ""N/A"")
 )
)
"),"N/A")</f>
        <v>N/A</v>
      </c>
      <c r="S14" s="20" t="s">
        <v>21</v>
      </c>
      <c r="T14" s="21" t="str">
        <f>IFERROR(__xludf.DUMMYFUNCTION("IF(S14="""","""",
 IF(UPPER(S14)=""N/A"",""N/A"",
  IFERROR( VALUE(INDEX(SPLIT(S14,""/""),1)) / VALUE(INDEX(SPLIT(S14,""/""),2)) , ""N/A"")
 )
)
"),"N/A")</f>
        <v>N/A</v>
      </c>
      <c r="U14" s="20" t="s">
        <v>21</v>
      </c>
      <c r="V14" s="21" t="str">
        <f>IFERROR(__xludf.DUMMYFUNCTION("IF(U14="""","""",
 IF(UPPER(U14)=""N/A"",""N/A"",
  IFERROR( VALUE(INDEX(SPLIT(U14,""/""),1)) / VALUE(INDEX(SPLIT(U14,""/""),2)) , ""N/A"")
 )
)
"),"N/A")</f>
        <v>N/A</v>
      </c>
      <c r="W14" s="20" t="s">
        <v>21</v>
      </c>
      <c r="X14" s="21" t="str">
        <f>IFERROR(__xludf.DUMMYFUNCTION("IF(W14="""","""",
 IF(UPPER(W14)=""N/A"",""N/A"",
  IFERROR( VALUE(INDEX(SPLIT(W14,""/""),1)) / VALUE(INDEX(SPLIT(W14,""/""),2)) , ""N/A"")
 )
)
"),"N/A")</f>
        <v>N/A</v>
      </c>
      <c r="Y14" s="20" t="s">
        <v>21</v>
      </c>
      <c r="Z14" s="21" t="str">
        <f>IFERROR(__xludf.DUMMYFUNCTION("IF(Y14="""","""",
 IF(UPPER(Y14)=""N/A"",""N/A"",
  IFERROR( VALUE(INDEX(SPLIT(Y14,""/""),1)) / VALUE(INDEX(SPLIT(Y14,""/""),2)) , ""N/A"")
 )
)
"),"N/A")</f>
        <v>N/A</v>
      </c>
      <c r="AA14" s="20" t="s">
        <v>21</v>
      </c>
      <c r="AB14" s="21" t="str">
        <f>IFERROR(__xludf.DUMMYFUNCTION("IF(AA14="""","""",
 IF(UPPER(AA14)=""N/A"",""N/A"",
  IFERROR( VALUE(INDEX(SPLIT(AA14,""/""),1)) / VALUE(INDEX(SPLIT(AA14,""/""),2)) , ""N/A"")
 )
)
"),"N/A")</f>
        <v>N/A</v>
      </c>
      <c r="AC14" s="20" t="s">
        <v>21</v>
      </c>
      <c r="AD14" s="21" t="str">
        <f>IFERROR(__xludf.DUMMYFUNCTION("IF(AC14="""","""",
 IF(UPPER(AC14)=""N/A"",""N/A"",
  IFERROR( VALUE(INDEX(SPLIT(AC14,""/""),1)) / VALUE(INDEX(SPLIT(AC14,""/""),2)) , ""N/A"")
 )
)
"),"N/A")</f>
        <v>N/A</v>
      </c>
      <c r="AE14" s="20" t="s">
        <v>21</v>
      </c>
      <c r="AF14" s="21" t="str">
        <f>IFERROR(__xludf.DUMMYFUNCTION("IF(AE14="""","""",
 IF(UPPER(AE14)=""N/A"",""N/A"",
  IFERROR( VALUE(INDEX(SPLIT(AE14,""/""),1)) / VALUE(INDEX(SPLIT(AE14,""/""),2)) , ""N/A"")
 )
)
"),"N/A")</f>
        <v>N/A</v>
      </c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1"/>
      <c r="V15" s="30"/>
      <c r="W15" s="30"/>
      <c r="X15" s="30"/>
      <c r="Y15" s="31"/>
      <c r="Z15" s="30"/>
      <c r="AA15" s="30"/>
      <c r="AB15" s="30"/>
      <c r="AC15" s="30"/>
      <c r="AD15" s="30"/>
      <c r="AE15" s="30"/>
      <c r="AF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1"/>
      <c r="V16" s="30"/>
      <c r="W16" s="30"/>
      <c r="X16" s="30"/>
      <c r="Y16" s="31"/>
      <c r="Z16" s="30"/>
      <c r="AA16" s="30"/>
      <c r="AB16" s="30"/>
      <c r="AC16" s="30"/>
      <c r="AD16" s="30"/>
      <c r="AE16" s="30"/>
      <c r="AF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1"/>
      <c r="V17" s="30"/>
      <c r="W17" s="30"/>
      <c r="X17" s="30"/>
      <c r="Y17" s="31"/>
      <c r="Z17" s="30"/>
      <c r="AA17" s="30"/>
      <c r="AB17" s="30"/>
      <c r="AC17" s="30"/>
      <c r="AD17" s="30"/>
      <c r="AE17" s="30"/>
      <c r="AF17" s="30"/>
    </row>
    <row r="18">
      <c r="A18" s="30"/>
      <c r="B18" s="30"/>
      <c r="C18" s="32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1"/>
      <c r="V18" s="30"/>
      <c r="W18" s="30"/>
      <c r="X18" s="30"/>
      <c r="Y18" s="31"/>
      <c r="Z18" s="30"/>
      <c r="AA18" s="30"/>
      <c r="AB18" s="30"/>
      <c r="AC18" s="30"/>
      <c r="AD18" s="30"/>
      <c r="AE18" s="30"/>
      <c r="AF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1"/>
      <c r="V19" s="30"/>
      <c r="W19" s="30"/>
      <c r="X19" s="30"/>
      <c r="Y19" s="31"/>
      <c r="Z19" s="30"/>
      <c r="AA19" s="30"/>
      <c r="AB19" s="30"/>
      <c r="AC19" s="30"/>
      <c r="AD19" s="30"/>
      <c r="AE19" s="30"/>
      <c r="AF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1"/>
      <c r="V20" s="30"/>
      <c r="W20" s="30"/>
      <c r="X20" s="30"/>
      <c r="Y20" s="31"/>
      <c r="Z20" s="30"/>
      <c r="AA20" s="30"/>
      <c r="AB20" s="30"/>
      <c r="AC20" s="30"/>
      <c r="AD20" s="30"/>
      <c r="AE20" s="30"/>
      <c r="AF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1"/>
      <c r="V21" s="30"/>
      <c r="W21" s="30"/>
      <c r="X21" s="30"/>
      <c r="Y21" s="31"/>
      <c r="Z21" s="30"/>
      <c r="AA21" s="30"/>
      <c r="AB21" s="30"/>
      <c r="AC21" s="30"/>
      <c r="AD21" s="30"/>
      <c r="AE21" s="30"/>
      <c r="AF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1"/>
      <c r="V22" s="30"/>
      <c r="W22" s="30"/>
      <c r="X22" s="30"/>
      <c r="Y22" s="34"/>
      <c r="Z22" s="30"/>
      <c r="AA22" s="30"/>
      <c r="AB22" s="30"/>
      <c r="AC22" s="30"/>
      <c r="AD22" s="30"/>
      <c r="AE22" s="30"/>
      <c r="AF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1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1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</row>
    <row r="927">
      <c r="AA927" s="30"/>
      <c r="AB927" s="30"/>
      <c r="AC927" s="30"/>
      <c r="AD927" s="30"/>
      <c r="AE927" s="30"/>
      <c r="AF927" s="30"/>
    </row>
    <row r="928">
      <c r="AA928" s="30"/>
      <c r="AB928" s="30"/>
      <c r="AC928" s="30"/>
      <c r="AD928" s="30"/>
      <c r="AE928" s="30"/>
      <c r="AF928" s="30"/>
    </row>
    <row r="929">
      <c r="AA929" s="30"/>
      <c r="AB929" s="30"/>
      <c r="AC929" s="30"/>
      <c r="AD929" s="30"/>
      <c r="AE929" s="30"/>
      <c r="AF929" s="30"/>
    </row>
  </sheetData>
  <mergeCells count="47">
    <mergeCell ref="AC2:AD2"/>
    <mergeCell ref="AE2:AF2"/>
    <mergeCell ref="O2:P2"/>
    <mergeCell ref="Q2:R2"/>
    <mergeCell ref="S2:T2"/>
    <mergeCell ref="U2:V2"/>
    <mergeCell ref="W2:X2"/>
    <mergeCell ref="Y2:Z2"/>
    <mergeCell ref="AA2:AB2"/>
    <mergeCell ref="A1:E1"/>
    <mergeCell ref="Q1:R1"/>
    <mergeCell ref="A2:E2"/>
    <mergeCell ref="G2:H2"/>
    <mergeCell ref="I2:J2"/>
    <mergeCell ref="K2:L2"/>
    <mergeCell ref="M2:N2"/>
    <mergeCell ref="A3:A4"/>
    <mergeCell ref="B3:B4"/>
    <mergeCell ref="C3:C4"/>
    <mergeCell ref="D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AD3:AD4"/>
    <mergeCell ref="AE3:AE4"/>
    <mergeCell ref="AF3:AF4"/>
    <mergeCell ref="W3:W4"/>
    <mergeCell ref="X3:X4"/>
    <mergeCell ref="Y3:Y4"/>
    <mergeCell ref="Z3:Z4"/>
    <mergeCell ref="AA3:AA4"/>
    <mergeCell ref="AB3:AB4"/>
    <mergeCell ref="AC3:AC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5.5"/>
    <col customWidth="1" min="2" max="2" width="11.13"/>
    <col customWidth="1" min="3" max="3" width="17.63"/>
    <col customWidth="1" min="4" max="4" width="12.63"/>
    <col customWidth="1" min="5" max="6" width="5.75"/>
  </cols>
  <sheetData>
    <row r="1">
      <c r="A1" s="1" t="s">
        <v>67</v>
      </c>
      <c r="B1" s="2"/>
      <c r="C1" s="2"/>
      <c r="D1" s="2"/>
      <c r="E1" s="3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4"/>
      <c r="T1" s="4"/>
      <c r="U1" s="4"/>
      <c r="V1" s="4"/>
    </row>
    <row r="2">
      <c r="A2" s="5" t="s">
        <v>1</v>
      </c>
      <c r="B2" s="2"/>
      <c r="C2" s="2"/>
      <c r="D2" s="2"/>
      <c r="E2" s="3"/>
      <c r="F2" s="6"/>
      <c r="G2" s="7" t="s">
        <v>2</v>
      </c>
      <c r="H2" s="3"/>
      <c r="I2" s="7" t="s">
        <v>3</v>
      </c>
      <c r="J2" s="3"/>
      <c r="K2" s="7" t="s">
        <v>4</v>
      </c>
      <c r="L2" s="3"/>
      <c r="M2" s="7" t="s">
        <v>5</v>
      </c>
      <c r="N2" s="3"/>
      <c r="O2" s="7" t="s">
        <v>6</v>
      </c>
      <c r="P2" s="3"/>
      <c r="Q2" s="7" t="s">
        <v>7</v>
      </c>
      <c r="R2" s="3"/>
      <c r="S2" s="7" t="s">
        <v>8</v>
      </c>
      <c r="T2" s="3"/>
      <c r="U2" s="7" t="s">
        <v>9</v>
      </c>
      <c r="V2" s="3"/>
    </row>
    <row r="3">
      <c r="A3" s="8"/>
      <c r="B3" s="9" t="s">
        <v>12</v>
      </c>
      <c r="C3" s="9" t="s">
        <v>13</v>
      </c>
      <c r="D3" s="10" t="s">
        <v>14</v>
      </c>
      <c r="E3" s="11"/>
      <c r="F3" s="12" t="s">
        <v>15</v>
      </c>
      <c r="G3" s="13" t="s">
        <v>16</v>
      </c>
      <c r="H3" s="14" t="s">
        <v>17</v>
      </c>
      <c r="I3" s="13" t="s">
        <v>16</v>
      </c>
      <c r="J3" s="14" t="s">
        <v>17</v>
      </c>
      <c r="K3" s="13" t="s">
        <v>16</v>
      </c>
      <c r="L3" s="14" t="s">
        <v>17</v>
      </c>
      <c r="M3" s="13" t="s">
        <v>16</v>
      </c>
      <c r="N3" s="14" t="s">
        <v>17</v>
      </c>
      <c r="O3" s="13" t="s">
        <v>16</v>
      </c>
      <c r="P3" s="14" t="s">
        <v>17</v>
      </c>
      <c r="Q3" s="13" t="s">
        <v>16</v>
      </c>
      <c r="R3" s="14" t="s">
        <v>17</v>
      </c>
      <c r="S3" s="13" t="s">
        <v>16</v>
      </c>
      <c r="T3" s="14" t="s">
        <v>17</v>
      </c>
      <c r="U3" s="13" t="s">
        <v>16</v>
      </c>
      <c r="V3" s="14" t="s">
        <v>17</v>
      </c>
    </row>
    <row r="4">
      <c r="A4" s="15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21.0" customHeight="1">
      <c r="A5" s="16"/>
      <c r="B5" s="17" t="s">
        <v>18</v>
      </c>
      <c r="C5" s="18" t="s">
        <v>19</v>
      </c>
      <c r="D5" s="18" t="s">
        <v>19</v>
      </c>
      <c r="E5" s="18" t="s">
        <v>19</v>
      </c>
      <c r="F5" s="19">
        <f t="shared" ref="F5:F21" si="1">AVERAGE(H5,J5,L5,N5,P5,R5,T5,V5,X5,Z5,AB5,AD5,AF5)</f>
        <v>0.9380952381</v>
      </c>
      <c r="G5" s="22">
        <v>45881.0</v>
      </c>
      <c r="H5" s="21">
        <f>IFERROR(__xludf.DUMMYFUNCTION("IF(G5="""","""", IF(UPPER(G5)=""N/A"",""N/A"",
 IFERROR( INDEX(SPLIT(G5,""/""),1,1) / INDEX(SPLIT(G5,""/""),1,2) , ""N/A"" )
))
"),0.6666666666666666)</f>
        <v>0.6666666667</v>
      </c>
      <c r="I5" s="22">
        <v>45910.0</v>
      </c>
      <c r="J5" s="21">
        <f>IFERROR(__xludf.DUMMYFUNCTION("IF(I5="""","""", IF(UPPER(I5)=""N/A"",""N/A"",
 IFERROR( INDEX(SPLIT(I5,""/""),1,1) / INDEX(SPLIT(I5,""/""),1,2) , ""N/A"" )
))
"),0.9)</f>
        <v>0.9</v>
      </c>
      <c r="K5" s="22">
        <v>45940.0</v>
      </c>
      <c r="L5" s="21">
        <f>IFERROR(__xludf.DUMMYFUNCTION("IF(K5="""","""", IF(UPPER(K5)=""N/A"",""N/A"",
 IFERROR( INDEX(SPLIT(K5,""/""),1,1) / INDEX(SPLIT(K5,""/""),1,2) , ""N/A"" )
))
"),1.0)</f>
        <v>1</v>
      </c>
      <c r="M5" s="22">
        <v>45972.0</v>
      </c>
      <c r="N5" s="21">
        <f>IFERROR(__xludf.DUMMYFUNCTION("IF(M5="""","""", IF(UPPER(M5)=""N/A"",""N/A"",
 IFERROR( INDEX(SPLIT(M5,""/""),1,1) / INDEX(SPLIT(M5,""/""),1,2) , ""N/A"" )
))
"),1.0)</f>
        <v>1</v>
      </c>
      <c r="O5" s="20" t="s">
        <v>21</v>
      </c>
      <c r="P5" s="21" t="str">
        <f>IFERROR(__xludf.DUMMYFUNCTION("IF(O5="""","""", IF(UPPER(O5)=""N/A"",""N/A"",
 IFERROR( INDEX(SPLIT(O5,""/""),1,1) / INDEX(SPLIT(O5,""/""),1,2) , ""N/A"" )
))
"),"N/A")</f>
        <v>N/A</v>
      </c>
      <c r="Q5" s="22">
        <v>45972.0</v>
      </c>
      <c r="R5" s="21">
        <f>IFERROR(__xludf.DUMMYFUNCTION("IF(Q5="""","""", IF(UPPER(Q5)=""N/A"",""N/A"",
 IFERROR( INDEX(SPLIT(Q5,""/""),1,1) / INDEX(SPLIT(Q5,""/""),1,2) , ""N/A"" )
))
"),1.0)</f>
        <v>1</v>
      </c>
      <c r="S5" s="20" t="s">
        <v>22</v>
      </c>
      <c r="T5" s="21">
        <f>IFERROR(__xludf.DUMMYFUNCTION("IF(S5="""","""", IF(UPPER(S5)=""N/A"",""N/A"",
 IFERROR( INDEX(SPLIT(S5,""/""),1,1) / INDEX(SPLIT(S5,""/""),1,2) , ""N/A"" )
))
"),1.0)</f>
        <v>1</v>
      </c>
      <c r="U5" s="22">
        <v>45877.0</v>
      </c>
      <c r="V5" s="21">
        <f>IFERROR(__xludf.DUMMYFUNCTION("IF(U5="""","""", IF(UPPER(U5)=""N/A"",""N/A"",
 IFERROR( INDEX(SPLIT(U5,""/""),1,1) / INDEX(SPLIT(U5,""/""),1,2) , ""N/A"" )
))
"),1.0)</f>
        <v>1</v>
      </c>
    </row>
    <row r="6" ht="21.0" customHeight="1">
      <c r="A6" s="23"/>
      <c r="B6" s="24" t="s">
        <v>23</v>
      </c>
      <c r="C6" s="18" t="s">
        <v>19</v>
      </c>
      <c r="D6" s="18" t="s">
        <v>19</v>
      </c>
      <c r="E6" s="18" t="s">
        <v>19</v>
      </c>
      <c r="F6" s="19">
        <f t="shared" si="1"/>
        <v>0.7573051948</v>
      </c>
      <c r="G6" s="22">
        <v>45912.0</v>
      </c>
      <c r="H6" s="21">
        <f>IFERROR(__xludf.DUMMYFUNCTION("IF(G6="""","""", IF(UPPER(G6)=""N/A"",""N/A"",
 IFERROR( INDEX(SPLIT(G6,""/""),1,1) / INDEX(SPLIT(G6,""/""),1,2) , ""N/A"" )
))
"),0.75)</f>
        <v>0.75</v>
      </c>
      <c r="I6" s="20" t="s">
        <v>21</v>
      </c>
      <c r="J6" s="21" t="str">
        <f>IFERROR(__xludf.DUMMYFUNCTION("IF(I6="""","""", IF(UPPER(I6)=""N/A"",""N/A"",
 IFERROR( INDEX(SPLIT(I6,""/""),1,1) / INDEX(SPLIT(I6,""/""),1,2) , ""N/A"" )
))
"),"N/A")</f>
        <v>N/A</v>
      </c>
      <c r="K6" s="20" t="s">
        <v>21</v>
      </c>
      <c r="L6" s="21" t="str">
        <f>IFERROR(__xludf.DUMMYFUNCTION("IF(K6="""","""", IF(UPPER(K6)=""N/A"",""N/A"",
 IFERROR( INDEX(SPLIT(K6,""/""),1,1) / INDEX(SPLIT(K6,""/""),1,2) , ""N/A"" )
))
"),"N/A")</f>
        <v>N/A</v>
      </c>
      <c r="M6" s="22">
        <v>45880.0</v>
      </c>
      <c r="N6" s="21">
        <f>IFERROR(__xludf.DUMMYFUNCTION("IF(M6="""","""", IF(UPPER(M6)=""N/A"",""N/A"",
 IFERROR( INDEX(SPLIT(M6,""/""),1,1) / INDEX(SPLIT(M6,""/""),1,2) , ""N/A"" )
))
"),0.7272727272727273)</f>
        <v>0.7272727273</v>
      </c>
      <c r="O6" s="22">
        <v>45784.0</v>
      </c>
      <c r="P6" s="21">
        <f>IFERROR(__xludf.DUMMYFUNCTION("IF(O6="""","""", IF(UPPER(O6)=""N/A"",""N/A"",
 IFERROR( INDEX(SPLIT(O6,""/""),1,1) / INDEX(SPLIT(O6,""/""),1,2) , ""N/A"" )
))
"),0.7142857142857143)</f>
        <v>0.7142857143</v>
      </c>
      <c r="Q6" s="22">
        <v>45880.0</v>
      </c>
      <c r="R6" s="21">
        <f>IFERROR(__xludf.DUMMYFUNCTION("IF(Q6="""","""", IF(UPPER(Q6)=""N/A"",""N/A"",
 IFERROR( INDEX(SPLIT(Q6,""/""),1,1) / INDEX(SPLIT(Q6,""/""),1,2) , ""N/A"" )
))
"),0.7272727272727273)</f>
        <v>0.7272727273</v>
      </c>
      <c r="S6" s="20" t="s">
        <v>22</v>
      </c>
      <c r="T6" s="21">
        <f>IFERROR(__xludf.DUMMYFUNCTION("IF(S6="""","""", IF(UPPER(S6)=""N/A"",""N/A"",
 IFERROR( INDEX(SPLIT(S6,""/""),1,1) / INDEX(SPLIT(S6,""/""),1,2) , ""N/A"" )
))
"),1.0)</f>
        <v>1</v>
      </c>
      <c r="U6" s="22">
        <v>45785.0</v>
      </c>
      <c r="V6" s="21">
        <f>IFERROR(__xludf.DUMMYFUNCTION("IF(U6="""","""", IF(UPPER(U6)=""N/A"",""N/A"",
 IFERROR( INDEX(SPLIT(U6,""/""),1,1) / INDEX(SPLIT(U6,""/""),1,2) , ""N/A"" )
))
"),0.625)</f>
        <v>0.625</v>
      </c>
    </row>
    <row r="7" ht="21.0" customHeight="1">
      <c r="A7" s="16"/>
      <c r="B7" s="24" t="s">
        <v>27</v>
      </c>
      <c r="C7" s="18" t="s">
        <v>19</v>
      </c>
      <c r="D7" s="18" t="s">
        <v>19</v>
      </c>
      <c r="E7" s="18" t="s">
        <v>19</v>
      </c>
      <c r="F7" s="19">
        <f t="shared" si="1"/>
        <v>0.8895323427</v>
      </c>
      <c r="G7" s="22">
        <v>45820.0</v>
      </c>
      <c r="H7" s="21">
        <f>IFERROR(__xludf.DUMMYFUNCTION("IF(G7="""","""", IF(UPPER(G7)=""N/A"",""N/A"",
 IFERROR( INDEX(SPLIT(G7,""/""),1,1) / INDEX(SPLIT(G7,""/""),1,2) , ""N/A"" )
))
"),0.5)</f>
        <v>0.5</v>
      </c>
      <c r="I7" s="22">
        <v>45940.0</v>
      </c>
      <c r="J7" s="21">
        <f>IFERROR(__xludf.DUMMYFUNCTION("IF(I7="""","""", IF(UPPER(I7)=""N/A"",""N/A"",
 IFERROR( INDEX(SPLIT(I7,""/""),1,1) / INDEX(SPLIT(I7,""/""),1,2) , ""N/A"" )
))
"),1.0)</f>
        <v>1</v>
      </c>
      <c r="K7" s="22">
        <v>45940.0</v>
      </c>
      <c r="L7" s="21">
        <f>IFERROR(__xludf.DUMMYFUNCTION("IF(K7="""","""", IF(UPPER(K7)=""N/A"",""N/A"",
 IFERROR( INDEX(SPLIT(K7,""/""),1,1) / INDEX(SPLIT(K7,""/""),1,2) , ""N/A"" )
))
"),1.0)</f>
        <v>1</v>
      </c>
      <c r="M7" s="22">
        <v>45941.0</v>
      </c>
      <c r="N7" s="21">
        <f>IFERROR(__xludf.DUMMYFUNCTION("IF(M7="""","""", IF(UPPER(M7)=""N/A"",""N/A"",
 IFERROR( INDEX(SPLIT(M7,""/""),1,1) / INDEX(SPLIT(M7,""/""),1,2) , ""N/A"" )
))
"),0.9090909090909091)</f>
        <v>0.9090909091</v>
      </c>
      <c r="O7" s="22">
        <v>45845.0</v>
      </c>
      <c r="P7" s="21">
        <f>IFERROR(__xludf.DUMMYFUNCTION("IF(O7="""","""", IF(UPPER(O7)=""N/A"",""N/A"",
 IFERROR( INDEX(SPLIT(O7,""/""),1,1) / INDEX(SPLIT(O7,""/""),1,2) , ""N/A"" )
))
"),1.0)</f>
        <v>1</v>
      </c>
      <c r="Q7" s="22">
        <v>45941.0</v>
      </c>
      <c r="R7" s="21">
        <f>IFERROR(__xludf.DUMMYFUNCTION("IF(Q7="""","""", IF(UPPER(Q7)=""N/A"",""N/A"",
 IFERROR( INDEX(SPLIT(Q7,""/""),1,1) / INDEX(SPLIT(Q7,""/""),1,2) , ""N/A"" )
))
"),0.9090909090909091)</f>
        <v>0.9090909091</v>
      </c>
      <c r="S7" s="22">
        <v>46004.0</v>
      </c>
      <c r="T7" s="21">
        <f>IFERROR(__xludf.DUMMYFUNCTION("IF(S7="""","""", IF(UPPER(S7)=""N/A"",""N/A"",
 IFERROR( INDEX(SPLIT(S7,""/""),1,1) / INDEX(SPLIT(S7,""/""),1,2) , ""N/A"" )
))
"),0.9230769230769231)</f>
        <v>0.9230769231</v>
      </c>
      <c r="U7" s="22">
        <v>45846.0</v>
      </c>
      <c r="V7" s="21">
        <f>IFERROR(__xludf.DUMMYFUNCTION("IF(U7="""","""", IF(UPPER(U7)=""N/A"",""N/A"",
 IFERROR( INDEX(SPLIT(U7,""/""),1,1) / INDEX(SPLIT(U7,""/""),1,2) , ""N/A"" )
))
"),0.875)</f>
        <v>0.875</v>
      </c>
    </row>
    <row r="8" ht="21.0" customHeight="1">
      <c r="A8" s="16"/>
      <c r="B8" s="17" t="s">
        <v>31</v>
      </c>
      <c r="C8" s="18" t="s">
        <v>19</v>
      </c>
      <c r="D8" s="18" t="s">
        <v>19</v>
      </c>
      <c r="E8" s="18" t="s">
        <v>19</v>
      </c>
      <c r="F8" s="19">
        <f t="shared" si="1"/>
        <v>0.768015318</v>
      </c>
      <c r="G8" s="22">
        <v>45850.0</v>
      </c>
      <c r="H8" s="21">
        <f>IFERROR(__xludf.DUMMYFUNCTION("IF(G8="""","""", IF(UPPER(G8)=""N/A"",""N/A"",
 IFERROR( INDEX(SPLIT(G8,""/""),1,1) / INDEX(SPLIT(G8,""/""),1,2) , ""N/A"" )
))
"),0.5833333333333334)</f>
        <v>0.5833333333</v>
      </c>
      <c r="I8" s="22">
        <v>45848.0</v>
      </c>
      <c r="J8" s="21">
        <f>IFERROR(__xludf.DUMMYFUNCTION("IF(I8="""","""", IF(UPPER(I8)=""N/A"",""N/A"",
 IFERROR( INDEX(SPLIT(I8,""/""),1,1) / INDEX(SPLIT(I8,""/""),1,2) , ""N/A"" )
))
"),0.7)</f>
        <v>0.7</v>
      </c>
      <c r="K8" s="22">
        <v>45910.0</v>
      </c>
      <c r="L8" s="21">
        <f>IFERROR(__xludf.DUMMYFUNCTION("IF(K8="""","""", IF(UPPER(K8)=""N/A"",""N/A"",
 IFERROR( INDEX(SPLIT(K8,""/""),1,1) / INDEX(SPLIT(K8,""/""),1,2) , ""N/A"" )
))
"),0.9)</f>
        <v>0.9</v>
      </c>
      <c r="M8" s="22">
        <v>45880.0</v>
      </c>
      <c r="N8" s="21">
        <f>IFERROR(__xludf.DUMMYFUNCTION("IF(M8="""","""", IF(UPPER(M8)=""N/A"",""N/A"",
 IFERROR( INDEX(SPLIT(M8,""/""),1,1) / INDEX(SPLIT(M8,""/""),1,2) , ""N/A"" )
))
"),0.7272727272727273)</f>
        <v>0.7272727273</v>
      </c>
      <c r="O8" s="22">
        <v>45784.0</v>
      </c>
      <c r="P8" s="21">
        <f>IFERROR(__xludf.DUMMYFUNCTION("IF(O8="""","""", IF(UPPER(O8)=""N/A"",""N/A"",
 IFERROR( INDEX(SPLIT(O8,""/""),1,1) / INDEX(SPLIT(O8,""/""),1,2) , ""N/A"" )
))
"),0.7142857142857143)</f>
        <v>0.7142857143</v>
      </c>
      <c r="Q8" s="22">
        <v>45972.0</v>
      </c>
      <c r="R8" s="21">
        <f>IFERROR(__xludf.DUMMYFUNCTION("IF(Q8="""","""", IF(UPPER(Q8)=""N/A"",""N/A"",
 IFERROR( INDEX(SPLIT(Q8,""/""),1,1) / INDEX(SPLIT(Q8,""/""),1,2) , ""N/A"" )
))
"),1.0)</f>
        <v>1</v>
      </c>
      <c r="S8" s="22">
        <v>45943.0</v>
      </c>
      <c r="T8" s="21">
        <f>IFERROR(__xludf.DUMMYFUNCTION("IF(S8="""","""", IF(UPPER(S8)=""N/A"",""N/A"",
 IFERROR( INDEX(SPLIT(S8,""/""),1,1) / INDEX(SPLIT(S8,""/""),1,2) , ""N/A"" )
))
"),0.7692307692307693)</f>
        <v>0.7692307692</v>
      </c>
      <c r="U8" s="22">
        <v>45816.0</v>
      </c>
      <c r="V8" s="21">
        <f>IFERROR(__xludf.DUMMYFUNCTION("IF(U8="""","""", IF(UPPER(U8)=""N/A"",""N/A"",
 IFERROR( INDEX(SPLIT(U8,""/""),1,1) / INDEX(SPLIT(U8,""/""),1,2) , ""N/A"" )
))
"),0.75)</f>
        <v>0.75</v>
      </c>
    </row>
    <row r="9" ht="21.0" customHeight="1">
      <c r="A9" s="16"/>
      <c r="B9" s="17" t="s">
        <v>32</v>
      </c>
      <c r="C9" s="18" t="s">
        <v>19</v>
      </c>
      <c r="D9" s="18" t="s">
        <v>19</v>
      </c>
      <c r="E9" s="18" t="s">
        <v>19</v>
      </c>
      <c r="F9" s="19">
        <f t="shared" si="1"/>
        <v>0.8141733267</v>
      </c>
      <c r="G9" s="22">
        <v>46003.0</v>
      </c>
      <c r="H9" s="21">
        <f>IFERROR(__xludf.DUMMYFUNCTION("IF(G9="""","""", IF(UPPER(G9)=""N/A"",""N/A"",
 IFERROR( INDEX(SPLIT(G9,""/""),1,1) / INDEX(SPLIT(G9,""/""),1,2) , ""N/A"" )
))
"),1.0)</f>
        <v>1</v>
      </c>
      <c r="I9" s="22">
        <v>45940.0</v>
      </c>
      <c r="J9" s="21">
        <f>IFERROR(__xludf.DUMMYFUNCTION("IF(I9="""","""", IF(UPPER(I9)=""N/A"",""N/A"",
 IFERROR( INDEX(SPLIT(I9,""/""),1,1) / INDEX(SPLIT(I9,""/""),1,2) , ""N/A"" )
))
"),1.0)</f>
        <v>1</v>
      </c>
      <c r="K9" s="22">
        <v>45910.0</v>
      </c>
      <c r="L9" s="21">
        <f>IFERROR(__xludf.DUMMYFUNCTION("IF(K9="""","""", IF(UPPER(K9)=""N/A"",""N/A"",
 IFERROR( INDEX(SPLIT(K9,""/""),1,1) / INDEX(SPLIT(K9,""/""),1,2) , ""N/A"" )
))
"),0.9)</f>
        <v>0.9</v>
      </c>
      <c r="M9" s="22">
        <v>45880.0</v>
      </c>
      <c r="N9" s="21">
        <f>IFERROR(__xludf.DUMMYFUNCTION("IF(M9="""","""", IF(UPPER(M9)=""N/A"",""N/A"",
 IFERROR( INDEX(SPLIT(M9,""/""),1,1) / INDEX(SPLIT(M9,""/""),1,2) , ""N/A"" )
))
"),0.7272727272727273)</f>
        <v>0.7272727273</v>
      </c>
      <c r="O9" s="22">
        <v>45754.0</v>
      </c>
      <c r="P9" s="21">
        <f>IFERROR(__xludf.DUMMYFUNCTION("IF(O9="""","""", IF(UPPER(O9)=""N/A"",""N/A"",
 IFERROR( INDEX(SPLIT(O9,""/""),1,1) / INDEX(SPLIT(O9,""/""),1,2) , ""N/A"" )
))
"),0.5714285714285714)</f>
        <v>0.5714285714</v>
      </c>
      <c r="Q9" s="22">
        <v>45819.0</v>
      </c>
      <c r="R9" s="21">
        <f>IFERROR(__xludf.DUMMYFUNCTION("IF(Q9="""","""", IF(UPPER(Q9)=""N/A"",""N/A"",
 IFERROR( INDEX(SPLIT(Q9,""/""),1,1) / INDEX(SPLIT(Q9,""/""),1,2) , ""N/A"" )
))
"),0.5454545454545454)</f>
        <v>0.5454545455</v>
      </c>
      <c r="S9" s="22">
        <v>45943.0</v>
      </c>
      <c r="T9" s="21">
        <f>IFERROR(__xludf.DUMMYFUNCTION("IF(S9="""","""", IF(UPPER(S9)=""N/A"",""N/A"",
 IFERROR( INDEX(SPLIT(S9,""/""),1,1) / INDEX(SPLIT(S9,""/""),1,2) , ""N/A"" )
))
"),0.7692307692307693)</f>
        <v>0.7692307692</v>
      </c>
      <c r="U9" s="22">
        <v>45877.0</v>
      </c>
      <c r="V9" s="21">
        <f>IFERROR(__xludf.DUMMYFUNCTION("IF(U9="""","""", IF(UPPER(U9)=""N/A"",""N/A"",
 IFERROR( INDEX(SPLIT(U9,""/""),1,1) / INDEX(SPLIT(U9,""/""),1,2) , ""N/A"" )
))
"),1.0)</f>
        <v>1</v>
      </c>
    </row>
    <row r="10" ht="21.0" customHeight="1">
      <c r="A10" s="16"/>
      <c r="B10" s="24" t="s">
        <v>33</v>
      </c>
      <c r="C10" s="18" t="s">
        <v>19</v>
      </c>
      <c r="D10" s="18" t="s">
        <v>19</v>
      </c>
      <c r="E10" s="18" t="s">
        <v>19</v>
      </c>
      <c r="F10" s="19">
        <f t="shared" si="1"/>
        <v>0.8712287712</v>
      </c>
      <c r="G10" s="22">
        <v>46003.0</v>
      </c>
      <c r="H10" s="21">
        <f>IFERROR(__xludf.DUMMYFUNCTION("IF(G10="""","""", IF(UPPER(G10)=""N/A"",""N/A"",
 IFERROR( INDEX(SPLIT(G10,""/""),1,1) / INDEX(SPLIT(G10,""/""),1,2) , ""N/A"" )
))
"),1.0)</f>
        <v>1</v>
      </c>
      <c r="I10" s="22">
        <v>45910.0</v>
      </c>
      <c r="J10" s="21">
        <f>IFERROR(__xludf.DUMMYFUNCTION("IF(I10="""","""", IF(UPPER(I10)=""N/A"",""N/A"",
 IFERROR( INDEX(SPLIT(I10,""/""),1,1) / INDEX(SPLIT(I10,""/""),1,2) , ""N/A"" )
))
"),0.9)</f>
        <v>0.9</v>
      </c>
      <c r="K10" s="22">
        <v>45910.0</v>
      </c>
      <c r="L10" s="21">
        <f>IFERROR(__xludf.DUMMYFUNCTION("IF(K10="""","""", IF(UPPER(K10)=""N/A"",""N/A"",
 IFERROR( INDEX(SPLIT(K10,""/""),1,1) / INDEX(SPLIT(K10,""/""),1,2) , ""N/A"" )
))
"),0.9)</f>
        <v>0.9</v>
      </c>
      <c r="M10" s="22">
        <v>45911.0</v>
      </c>
      <c r="N10" s="21">
        <f>IFERROR(__xludf.DUMMYFUNCTION("IF(M10="""","""", IF(UPPER(M10)=""N/A"",""N/A"",
 IFERROR( INDEX(SPLIT(M10,""/""),1,1) / INDEX(SPLIT(M10,""/""),1,2) , ""N/A"" )
))
"),0.8181818181818182)</f>
        <v>0.8181818182</v>
      </c>
      <c r="O10" s="22">
        <v>45723.0</v>
      </c>
      <c r="P10" s="21">
        <f>IFERROR(__xludf.DUMMYFUNCTION("IF(O10="""","""", IF(UPPER(O10)=""N/A"",""N/A"",
 IFERROR( INDEX(SPLIT(O10,""/""),1,1) / INDEX(SPLIT(O10,""/""),1,2) , ""N/A"" )
))
"),0.42857142857142855)</f>
        <v>0.4285714286</v>
      </c>
      <c r="Q10" s="22">
        <v>45972.0</v>
      </c>
      <c r="R10" s="21">
        <f>IFERROR(__xludf.DUMMYFUNCTION("IF(Q10="""","""", IF(UPPER(Q10)=""N/A"",""N/A"",
 IFERROR( INDEX(SPLIT(Q10,""/""),1,1) / INDEX(SPLIT(Q10,""/""),1,2) , ""N/A"" )
))
"),1.0)</f>
        <v>1</v>
      </c>
      <c r="S10" s="22">
        <v>46004.0</v>
      </c>
      <c r="T10" s="21">
        <f>IFERROR(__xludf.DUMMYFUNCTION("IF(S10="""","""", IF(UPPER(S10)=""N/A"",""N/A"",
 IFERROR( INDEX(SPLIT(S10,""/""),1,1) / INDEX(SPLIT(S10,""/""),1,2) , ""N/A"" )
))
"),0.9230769230769231)</f>
        <v>0.9230769231</v>
      </c>
      <c r="U10" s="22">
        <v>45877.0</v>
      </c>
      <c r="V10" s="21">
        <f>IFERROR(__xludf.DUMMYFUNCTION("IF(U10="""","""", IF(UPPER(U10)=""N/A"",""N/A"",
 IFERROR( INDEX(SPLIT(U10,""/""),1,1) / INDEX(SPLIT(U10,""/""),1,2) , ""N/A"" )
))
"),1.0)</f>
        <v>1</v>
      </c>
    </row>
    <row r="11" ht="21.0" customHeight="1">
      <c r="A11" s="16"/>
      <c r="B11" s="24" t="s">
        <v>36</v>
      </c>
      <c r="C11" s="18" t="s">
        <v>19</v>
      </c>
      <c r="D11" s="18" t="s">
        <v>19</v>
      </c>
      <c r="E11" s="18" t="s">
        <v>19</v>
      </c>
      <c r="F11" s="19">
        <f t="shared" si="1"/>
        <v>0.8990020396</v>
      </c>
      <c r="G11" s="22">
        <v>45881.0</v>
      </c>
      <c r="H11" s="21">
        <f>IFERROR(__xludf.DUMMYFUNCTION("IF(G11="""","""", IF(UPPER(G11)=""N/A"",""N/A"",
 IFERROR( INDEX(SPLIT(G11,""/""),1,1) / INDEX(SPLIT(G11,""/""),1,2) , ""N/A"" )
))
"),0.6666666666666666)</f>
        <v>0.6666666667</v>
      </c>
      <c r="I11" s="22">
        <v>45940.0</v>
      </c>
      <c r="J11" s="21">
        <f>IFERROR(__xludf.DUMMYFUNCTION("IF(I11="""","""", IF(UPPER(I11)=""N/A"",""N/A"",
 IFERROR( INDEX(SPLIT(I11,""/""),1,1) / INDEX(SPLIT(I11,""/""),1,2) , ""N/A"" )
))
"),1.0)</f>
        <v>1</v>
      </c>
      <c r="K11" s="22">
        <v>45940.0</v>
      </c>
      <c r="L11" s="21">
        <f>IFERROR(__xludf.DUMMYFUNCTION("IF(K11="""","""", IF(UPPER(K11)=""N/A"",""N/A"",
 IFERROR( INDEX(SPLIT(K11,""/""),1,1) / INDEX(SPLIT(K11,""/""),1,2) , ""N/A"" )
))
"),1.0)</f>
        <v>1</v>
      </c>
      <c r="M11" s="22">
        <v>45911.0</v>
      </c>
      <c r="N11" s="21">
        <f>IFERROR(__xludf.DUMMYFUNCTION("IF(M11="""","""", IF(UPPER(M11)=""N/A"",""N/A"",
 IFERROR( INDEX(SPLIT(M11,""/""),1,1) / INDEX(SPLIT(M11,""/""),1,2) , ""N/A"" )
))
"),0.8181818181818182)</f>
        <v>0.8181818182</v>
      </c>
      <c r="O11" s="22">
        <v>45845.0</v>
      </c>
      <c r="P11" s="21">
        <f>IFERROR(__xludf.DUMMYFUNCTION("IF(O11="""","""", IF(UPPER(O11)=""N/A"",""N/A"",
 IFERROR( INDEX(SPLIT(O11,""/""),1,1) / INDEX(SPLIT(O11,""/""),1,2) , ""N/A"" )
))
"),1.0)</f>
        <v>1</v>
      </c>
      <c r="Q11" s="22">
        <v>45941.0</v>
      </c>
      <c r="R11" s="21">
        <f>IFERROR(__xludf.DUMMYFUNCTION("IF(Q11="""","""", IF(UPPER(Q11)=""N/A"",""N/A"",
 IFERROR( INDEX(SPLIT(Q11,""/""),1,1) / INDEX(SPLIT(Q11,""/""),1,2) , ""N/A"" )
))
"),0.9090909090909091)</f>
        <v>0.9090909091</v>
      </c>
      <c r="S11" s="22">
        <v>46004.0</v>
      </c>
      <c r="T11" s="21">
        <f>IFERROR(__xludf.DUMMYFUNCTION("IF(S11="""","""", IF(UPPER(S11)=""N/A"",""N/A"",
 IFERROR( INDEX(SPLIT(S11,""/""),1,1) / INDEX(SPLIT(S11,""/""),1,2) , ""N/A"" )
))
"),0.9230769230769231)</f>
        <v>0.9230769231</v>
      </c>
      <c r="U11" s="22">
        <v>45846.0</v>
      </c>
      <c r="V11" s="21">
        <f>IFERROR(__xludf.DUMMYFUNCTION("IF(U11="""","""", IF(UPPER(U11)=""N/A"",""N/A"",
 IFERROR( INDEX(SPLIT(U11,""/""),1,1) / INDEX(SPLIT(U11,""/""),1,2) , ""N/A"" )
))
"),0.875)</f>
        <v>0.875</v>
      </c>
    </row>
    <row r="12" ht="21.0" customHeight="1">
      <c r="A12" s="16"/>
      <c r="B12" s="17" t="s">
        <v>37</v>
      </c>
      <c r="C12" s="18" t="s">
        <v>19</v>
      </c>
      <c r="D12" s="18" t="s">
        <v>19</v>
      </c>
      <c r="E12" s="18" t="s">
        <v>19</v>
      </c>
      <c r="F12" s="19">
        <f t="shared" si="1"/>
        <v>0.9428030303</v>
      </c>
      <c r="G12" s="22">
        <v>45942.0</v>
      </c>
      <c r="H12" s="21">
        <f>IFERROR(__xludf.DUMMYFUNCTION("IF(G12="""","""", IF(UPPER(G12)=""N/A"",""N/A"",
 IFERROR( INDEX(SPLIT(G12,""/""),1,1) / INDEX(SPLIT(G12,""/""),1,2) , ""N/A"" )
))
"),0.8333333333333334)</f>
        <v>0.8333333333</v>
      </c>
      <c r="I12" s="22">
        <v>45910.0</v>
      </c>
      <c r="J12" s="21">
        <f>IFERROR(__xludf.DUMMYFUNCTION("IF(I12="""","""", IF(UPPER(I12)=""N/A"",""N/A"",
 IFERROR( INDEX(SPLIT(I12,""/""),1,1) / INDEX(SPLIT(I12,""/""),1,2) , ""N/A"" )
))
"),0.9)</f>
        <v>0.9</v>
      </c>
      <c r="K12" s="22">
        <v>45910.0</v>
      </c>
      <c r="L12" s="21">
        <f>IFERROR(__xludf.DUMMYFUNCTION("IF(K12="""","""", IF(UPPER(K12)=""N/A"",""N/A"",
 IFERROR( INDEX(SPLIT(K12,""/""),1,1) / INDEX(SPLIT(K12,""/""),1,2) , ""N/A"" )
))
"),0.9)</f>
        <v>0.9</v>
      </c>
      <c r="M12" s="22">
        <v>45941.0</v>
      </c>
      <c r="N12" s="21">
        <f>IFERROR(__xludf.DUMMYFUNCTION("IF(M12="""","""", IF(UPPER(M12)=""N/A"",""N/A"",
 IFERROR( INDEX(SPLIT(M12,""/""),1,1) / INDEX(SPLIT(M12,""/""),1,2) , ""N/A"" )
))
"),0.9090909090909091)</f>
        <v>0.9090909091</v>
      </c>
      <c r="O12" s="22">
        <v>45845.0</v>
      </c>
      <c r="P12" s="21">
        <f>IFERROR(__xludf.DUMMYFUNCTION("IF(O12="""","""", IF(UPPER(O12)=""N/A"",""N/A"",
 IFERROR( INDEX(SPLIT(O12,""/""),1,1) / INDEX(SPLIT(O12,""/""),1,2) , ""N/A"" )
))
"),1.0)</f>
        <v>1</v>
      </c>
      <c r="Q12" s="22">
        <v>45972.0</v>
      </c>
      <c r="R12" s="21">
        <f>IFERROR(__xludf.DUMMYFUNCTION("IF(Q12="""","""", IF(UPPER(Q12)=""N/A"",""N/A"",
 IFERROR( INDEX(SPLIT(Q12,""/""),1,1) / INDEX(SPLIT(Q12,""/""),1,2) , ""N/A"" )
))
"),1.0)</f>
        <v>1</v>
      </c>
      <c r="S12" s="20" t="s">
        <v>22</v>
      </c>
      <c r="T12" s="21">
        <f>IFERROR(__xludf.DUMMYFUNCTION("IF(S12="""","""", IF(UPPER(S12)=""N/A"",""N/A"",
 IFERROR( INDEX(SPLIT(S12,""/""),1,1) / INDEX(SPLIT(S12,""/""),1,2) , ""N/A"" )
))
"),1.0)</f>
        <v>1</v>
      </c>
      <c r="U12" s="22">
        <v>45877.0</v>
      </c>
      <c r="V12" s="21">
        <f>IFERROR(__xludf.DUMMYFUNCTION("IF(U12="""","""", IF(UPPER(U12)=""N/A"",""N/A"",
 IFERROR( INDEX(SPLIT(U12,""/""),1,1) / INDEX(SPLIT(U12,""/""),1,2) , ""N/A"" )
))
"),1.0)</f>
        <v>1</v>
      </c>
    </row>
    <row r="13" ht="21.0" customHeight="1">
      <c r="A13" s="16"/>
      <c r="B13" s="17" t="s">
        <v>39</v>
      </c>
      <c r="C13" s="18" t="s">
        <v>19</v>
      </c>
      <c r="D13" s="18" t="s">
        <v>19</v>
      </c>
      <c r="E13" s="18" t="s">
        <v>19</v>
      </c>
      <c r="F13" s="19">
        <f t="shared" si="1"/>
        <v>0.8603230103</v>
      </c>
      <c r="G13" s="22">
        <v>45973.0</v>
      </c>
      <c r="H13" s="21">
        <f>IFERROR(__xludf.DUMMYFUNCTION("IF(G13="""","""", IF(UPPER(G13)=""N/A"",""N/A"",
 IFERROR( INDEX(SPLIT(G13,""/""),1,1) / INDEX(SPLIT(G13,""/""),1,2) , ""N/A"" )
))
"),0.9166666666666666)</f>
        <v>0.9166666667</v>
      </c>
      <c r="I13" s="22">
        <v>45879.0</v>
      </c>
      <c r="J13" s="21">
        <f>IFERROR(__xludf.DUMMYFUNCTION("IF(I13="""","""", IF(UPPER(I13)=""N/A"",""N/A"",
 IFERROR( INDEX(SPLIT(I13,""/""),1,1) / INDEX(SPLIT(I13,""/""),1,2) , ""N/A"" )
))
"),0.8)</f>
        <v>0.8</v>
      </c>
      <c r="K13" s="22">
        <v>45910.0</v>
      </c>
      <c r="L13" s="21">
        <f>IFERROR(__xludf.DUMMYFUNCTION("IF(K13="""","""", IF(UPPER(K13)=""N/A"",""N/A"",
 IFERROR( INDEX(SPLIT(K13,""/""),1,1) / INDEX(SPLIT(K13,""/""),1,2) , ""N/A"" )
))
"),0.9)</f>
        <v>0.9</v>
      </c>
      <c r="M13" s="22">
        <v>45941.0</v>
      </c>
      <c r="N13" s="21">
        <f>IFERROR(__xludf.DUMMYFUNCTION("IF(M13="""","""", IF(UPPER(M13)=""N/A"",""N/A"",
 IFERROR( INDEX(SPLIT(M13,""/""),1,1) / INDEX(SPLIT(M13,""/""),1,2) , ""N/A"" )
))
"),0.9090909090909091)</f>
        <v>0.9090909091</v>
      </c>
      <c r="O13" s="22">
        <v>45845.0</v>
      </c>
      <c r="P13" s="21">
        <f>IFERROR(__xludf.DUMMYFUNCTION("IF(O13="""","""", IF(UPPER(O13)=""N/A"",""N/A"",
 IFERROR( INDEX(SPLIT(O13,""/""),1,1) / INDEX(SPLIT(O13,""/""),1,2) , ""N/A"" )
))
"),1.0)</f>
        <v>1</v>
      </c>
      <c r="Q13" s="22">
        <v>45880.0</v>
      </c>
      <c r="R13" s="21">
        <f>IFERROR(__xludf.DUMMYFUNCTION("IF(Q13="""","""", IF(UPPER(Q13)=""N/A"",""N/A"",
 IFERROR( INDEX(SPLIT(Q13,""/""),1,1) / INDEX(SPLIT(Q13,""/""),1,2) , ""N/A"" )
))
"),0.7272727272727273)</f>
        <v>0.7272727273</v>
      </c>
      <c r="S13" s="22">
        <v>45943.0</v>
      </c>
      <c r="T13" s="21">
        <f>IFERROR(__xludf.DUMMYFUNCTION("IF(S13="""","""", IF(UPPER(S13)=""N/A"",""N/A"",
 IFERROR( INDEX(SPLIT(S13,""/""),1,1) / INDEX(SPLIT(S13,""/""),1,2) , ""N/A"" )
))
"),0.7692307692307693)</f>
        <v>0.7692307692</v>
      </c>
      <c r="U13" s="20" t="s">
        <v>21</v>
      </c>
      <c r="V13" s="21" t="str">
        <f>IFERROR(__xludf.DUMMYFUNCTION("IF(U13="""","""", IF(UPPER(U13)=""N/A"",""N/A"",
 IFERROR( INDEX(SPLIT(U13,""/""),1,1) / INDEX(SPLIT(U13,""/""),1,2) , ""N/A"" )
))
"),"N/A")</f>
        <v>N/A</v>
      </c>
    </row>
    <row r="14" ht="21.0" customHeight="1">
      <c r="A14" s="16"/>
      <c r="B14" s="24" t="s">
        <v>40</v>
      </c>
      <c r="C14" s="18" t="s">
        <v>19</v>
      </c>
      <c r="D14" s="18" t="s">
        <v>19</v>
      </c>
      <c r="E14" s="18" t="s">
        <v>19</v>
      </c>
      <c r="F14" s="19">
        <f t="shared" si="1"/>
        <v>0.9694055944</v>
      </c>
      <c r="G14" s="22">
        <v>46003.0</v>
      </c>
      <c r="H14" s="21">
        <f>IFERROR(__xludf.DUMMYFUNCTION("IF(G14="""","""", IF(UPPER(G14)=""N/A"",""N/A"",
 IFERROR( INDEX(SPLIT(G14,""/""),1,1) / INDEX(SPLIT(G14,""/""),1,2) , ""N/A"" )
))
"),1.0)</f>
        <v>1</v>
      </c>
      <c r="I14" s="22">
        <v>45940.0</v>
      </c>
      <c r="J14" s="21">
        <f>IFERROR(__xludf.DUMMYFUNCTION("IF(I14="""","""", IF(UPPER(I14)=""N/A"",""N/A"",
 IFERROR( INDEX(SPLIT(I14,""/""),1,1) / INDEX(SPLIT(I14,""/""),1,2) , ""N/A"" )
))
"),1.0)</f>
        <v>1</v>
      </c>
      <c r="K14" s="22">
        <v>45940.0</v>
      </c>
      <c r="L14" s="21">
        <f>IFERROR(__xludf.DUMMYFUNCTION("IF(K14="""","""", IF(UPPER(K14)=""N/A"",""N/A"",
 IFERROR( INDEX(SPLIT(K14,""/""),1,1) / INDEX(SPLIT(K14,""/""),1,2) , ""N/A"" )
))
"),1.0)</f>
        <v>1</v>
      </c>
      <c r="M14" s="22">
        <v>45941.0</v>
      </c>
      <c r="N14" s="21">
        <f>IFERROR(__xludf.DUMMYFUNCTION("IF(M14="""","""", IF(UPPER(M14)=""N/A"",""N/A"",
 IFERROR( INDEX(SPLIT(M14,""/""),1,1) / INDEX(SPLIT(M14,""/""),1,2) , ""N/A"" )
))
"),0.9090909090909091)</f>
        <v>0.9090909091</v>
      </c>
      <c r="O14" s="22">
        <v>45845.0</v>
      </c>
      <c r="P14" s="21">
        <f>IFERROR(__xludf.DUMMYFUNCTION("IF(O14="""","""", IF(UPPER(O14)=""N/A"",""N/A"",
 IFERROR( INDEX(SPLIT(O14,""/""),1,1) / INDEX(SPLIT(O14,""/""),1,2) , ""N/A"" )
))
"),1.0)</f>
        <v>1</v>
      </c>
      <c r="Q14" s="22">
        <v>45972.0</v>
      </c>
      <c r="R14" s="21">
        <f>IFERROR(__xludf.DUMMYFUNCTION("IF(Q14="""","""", IF(UPPER(Q14)=""N/A"",""N/A"",
 IFERROR( INDEX(SPLIT(Q14,""/""),1,1) / INDEX(SPLIT(Q14,""/""),1,2) , ""N/A"" )
))
"),1.0)</f>
        <v>1</v>
      </c>
      <c r="S14" s="22">
        <v>45974.0</v>
      </c>
      <c r="T14" s="21">
        <f>IFERROR(__xludf.DUMMYFUNCTION("IF(S14="""","""", IF(UPPER(S14)=""N/A"",""N/A"",
 IFERROR( INDEX(SPLIT(S14,""/""),1,1) / INDEX(SPLIT(S14,""/""),1,2) , ""N/A"" )
))
"),0.8461538461538461)</f>
        <v>0.8461538462</v>
      </c>
      <c r="U14" s="22">
        <v>45877.0</v>
      </c>
      <c r="V14" s="21">
        <f>IFERROR(__xludf.DUMMYFUNCTION("IF(U14="""","""", IF(UPPER(U14)=""N/A"",""N/A"",
 IFERROR( INDEX(SPLIT(U14,""/""),1,1) / INDEX(SPLIT(U14,""/""),1,2) , ""N/A"" )
))
"),1.0)</f>
        <v>1</v>
      </c>
    </row>
    <row r="15" ht="21.0" customHeight="1">
      <c r="A15" s="16"/>
      <c r="B15" s="24" t="s">
        <v>42</v>
      </c>
      <c r="C15" s="18" t="s">
        <v>19</v>
      </c>
      <c r="D15" s="18" t="s">
        <v>19</v>
      </c>
      <c r="E15" s="18" t="s">
        <v>19</v>
      </c>
      <c r="F15" s="19">
        <f t="shared" si="1"/>
        <v>1</v>
      </c>
      <c r="G15" s="22">
        <v>46003.0</v>
      </c>
      <c r="H15" s="21">
        <f>IFERROR(__xludf.DUMMYFUNCTION("IF(G15="""","""", IF(UPPER(G15)=""N/A"",""N/A"",
 IFERROR( INDEX(SPLIT(G15,""/""),1,1) / INDEX(SPLIT(G15,""/""),1,2) , ""N/A"" )
))
"),1.0)</f>
        <v>1</v>
      </c>
      <c r="I15" s="20" t="s">
        <v>21</v>
      </c>
      <c r="J15" s="21" t="str">
        <f>IFERROR(__xludf.DUMMYFUNCTION("IF(I15="""","""", IF(UPPER(I15)=""N/A"",""N/A"",
 IFERROR( INDEX(SPLIT(I15,""/""),1,1) / INDEX(SPLIT(I15,""/""),1,2) , ""N/A"" )
))
"),"N/A")</f>
        <v>N/A</v>
      </c>
      <c r="K15" s="20" t="s">
        <v>21</v>
      </c>
      <c r="L15" s="21" t="str">
        <f>IFERROR(__xludf.DUMMYFUNCTION("IF(K15="""","""", IF(UPPER(K15)=""N/A"",""N/A"",
 IFERROR( INDEX(SPLIT(K15,""/""),1,1) / INDEX(SPLIT(K15,""/""),1,2) , ""N/A"" )
))
"),"N/A")</f>
        <v>N/A</v>
      </c>
      <c r="M15" s="20" t="s">
        <v>21</v>
      </c>
      <c r="N15" s="21" t="str">
        <f>IFERROR(__xludf.DUMMYFUNCTION("IF(M15="""","""", IF(UPPER(M15)=""N/A"",""N/A"",
 IFERROR( INDEX(SPLIT(M15,""/""),1,1) / INDEX(SPLIT(M15,""/""),1,2) , ""N/A"" )
))
"),"N/A")</f>
        <v>N/A</v>
      </c>
      <c r="O15" s="20" t="s">
        <v>21</v>
      </c>
      <c r="P15" s="21" t="str">
        <f>IFERROR(__xludf.DUMMYFUNCTION("IF(O15="""","""", IF(UPPER(O15)=""N/A"",""N/A"",
 IFERROR( INDEX(SPLIT(O15,""/""),1,1) / INDEX(SPLIT(O15,""/""),1,2) , ""N/A"" )
))
"),"N/A")</f>
        <v>N/A</v>
      </c>
      <c r="Q15" s="20" t="s">
        <v>21</v>
      </c>
      <c r="R15" s="21" t="str">
        <f>IFERROR(__xludf.DUMMYFUNCTION("IF(Q15="""","""", IF(UPPER(Q15)=""N/A"",""N/A"",
 IFERROR( INDEX(SPLIT(Q15,""/""),1,1) / INDEX(SPLIT(Q15,""/""),1,2) , ""N/A"" )
))
"),"N/A")</f>
        <v>N/A</v>
      </c>
      <c r="S15" s="20" t="s">
        <v>21</v>
      </c>
      <c r="T15" s="21" t="str">
        <f>IFERROR(__xludf.DUMMYFUNCTION("IF(S15="""","""", IF(UPPER(S15)=""N/A"",""N/A"",
 IFERROR( INDEX(SPLIT(S15,""/""),1,1) / INDEX(SPLIT(S15,""/""),1,2) , ""N/A"" )
))
"),"N/A")</f>
        <v>N/A</v>
      </c>
      <c r="U15" s="20" t="s">
        <v>21</v>
      </c>
      <c r="V15" s="21" t="str">
        <f>IFERROR(__xludf.DUMMYFUNCTION("IF(U15="""","""", IF(UPPER(U15)=""N/A"",""N/A"",
 IFERROR( INDEX(SPLIT(U15,""/""),1,1) / INDEX(SPLIT(U15,""/""),1,2) , ""N/A"" )
))
"),"N/A")</f>
        <v>N/A</v>
      </c>
    </row>
    <row r="16" ht="21.0" customHeight="1">
      <c r="A16" s="16"/>
      <c r="B16" s="17" t="s">
        <v>43</v>
      </c>
      <c r="C16" s="18" t="s">
        <v>19</v>
      </c>
      <c r="D16" s="18" t="s">
        <v>19</v>
      </c>
      <c r="E16" s="18" t="s">
        <v>19</v>
      </c>
      <c r="F16" s="19">
        <f t="shared" si="1"/>
        <v>0.8060606061</v>
      </c>
      <c r="G16" s="22">
        <v>45759.0</v>
      </c>
      <c r="H16" s="21">
        <f>IFERROR(__xludf.DUMMYFUNCTION("IF(G16="""","""", IF(UPPER(G16)=""N/A"",""N/A"",
 IFERROR( INDEX(SPLIT(G16,""/""),1,1) / INDEX(SPLIT(G16,""/""),1,2) , ""N/A"" )
))
"),0.3333333333333333)</f>
        <v>0.3333333333</v>
      </c>
      <c r="I16" s="22">
        <v>45818.0</v>
      </c>
      <c r="J16" s="21">
        <f>IFERROR(__xludf.DUMMYFUNCTION("IF(I16="""","""", IF(UPPER(I16)=""N/A"",""N/A"",
 IFERROR( INDEX(SPLIT(I16,""/""),1,1) / INDEX(SPLIT(I16,""/""),1,2) , ""N/A"" )
))
"),0.6)</f>
        <v>0.6</v>
      </c>
      <c r="K16" s="22">
        <v>45879.0</v>
      </c>
      <c r="L16" s="21">
        <f>IFERROR(__xludf.DUMMYFUNCTION("IF(K16="""","""", IF(UPPER(K16)=""N/A"",""N/A"",
 IFERROR( INDEX(SPLIT(K16,""/""),1,1) / INDEX(SPLIT(K16,""/""),1,2) , ""N/A"" )
))
"),0.8)</f>
        <v>0.8</v>
      </c>
      <c r="M16" s="22">
        <v>45941.0</v>
      </c>
      <c r="N16" s="21">
        <f>IFERROR(__xludf.DUMMYFUNCTION("IF(M16="""","""", IF(UPPER(M16)=""N/A"",""N/A"",
 IFERROR( INDEX(SPLIT(M16,""/""),1,1) / INDEX(SPLIT(M16,""/""),1,2) , ""N/A"" )
))
"),0.9090909090909091)</f>
        <v>0.9090909091</v>
      </c>
      <c r="O16" s="22">
        <v>45845.0</v>
      </c>
      <c r="P16" s="21">
        <f>IFERROR(__xludf.DUMMYFUNCTION("IF(O16="""","""", IF(UPPER(O16)=""N/A"",""N/A"",
 IFERROR( INDEX(SPLIT(O16,""/""),1,1) / INDEX(SPLIT(O16,""/""),1,2) , ""N/A"" )
))
"),1.0)</f>
        <v>1</v>
      </c>
      <c r="Q16" s="22">
        <v>45972.0</v>
      </c>
      <c r="R16" s="21">
        <f>IFERROR(__xludf.DUMMYFUNCTION("IF(Q16="""","""", IF(UPPER(Q16)=""N/A"",""N/A"",
 IFERROR( INDEX(SPLIT(Q16,""/""),1,1) / INDEX(SPLIT(Q16,""/""),1,2) , ""N/A"" )
))
"),1.0)</f>
        <v>1</v>
      </c>
      <c r="S16" s="20" t="s">
        <v>22</v>
      </c>
      <c r="T16" s="21">
        <f>IFERROR(__xludf.DUMMYFUNCTION("IF(S16="""","""", IF(UPPER(S16)=""N/A"",""N/A"",
 IFERROR( INDEX(SPLIT(S16,""/""),1,1) / INDEX(SPLIT(S16,""/""),1,2) , ""N/A"" )
))
"),1.0)</f>
        <v>1</v>
      </c>
      <c r="U16" s="20" t="s">
        <v>21</v>
      </c>
      <c r="V16" s="21" t="str">
        <f>IFERROR(__xludf.DUMMYFUNCTION("IF(U16="""","""", IF(UPPER(U16)=""N/A"",""N/A"",
 IFERROR( INDEX(SPLIT(U16,""/""),1,1) / INDEX(SPLIT(U16,""/""),1,2) , ""N/A"" )
))
"),"N/A")</f>
        <v>N/A</v>
      </c>
    </row>
    <row r="17" ht="21.0" customHeight="1">
      <c r="A17" s="16"/>
      <c r="B17" s="17" t="s">
        <v>44</v>
      </c>
      <c r="C17" s="18" t="s">
        <v>19</v>
      </c>
      <c r="D17" s="18" t="s">
        <v>19</v>
      </c>
      <c r="E17" s="18" t="s">
        <v>19</v>
      </c>
      <c r="F17" s="19">
        <f t="shared" si="1"/>
        <v>0.8569898851</v>
      </c>
      <c r="G17" s="22">
        <v>46003.0</v>
      </c>
      <c r="H17" s="21">
        <f>IFERROR(__xludf.DUMMYFUNCTION("IF(G17="""","""", IF(UPPER(G17)=""N/A"",""N/A"",
 IFERROR( INDEX(SPLIT(G17,""/""),1,1) / INDEX(SPLIT(G17,""/""),1,2) , ""N/A"" )
))
"),1.0)</f>
        <v>1</v>
      </c>
      <c r="I17" s="22">
        <v>45910.0</v>
      </c>
      <c r="J17" s="21">
        <f>IFERROR(__xludf.DUMMYFUNCTION("IF(I17="""","""", IF(UPPER(I17)=""N/A"",""N/A"",
 IFERROR( INDEX(SPLIT(I17,""/""),1,1) / INDEX(SPLIT(I17,""/""),1,2) , ""N/A"" )
))
"),0.9)</f>
        <v>0.9</v>
      </c>
      <c r="K17" s="22">
        <v>45940.0</v>
      </c>
      <c r="L17" s="21">
        <f>IFERROR(__xludf.DUMMYFUNCTION("IF(K17="""","""", IF(UPPER(K17)=""N/A"",""N/A"",
 IFERROR( INDEX(SPLIT(K17,""/""),1,1) / INDEX(SPLIT(K17,""/""),1,2) , ""N/A"" )
))
"),1.0)</f>
        <v>1</v>
      </c>
      <c r="M17" s="22">
        <v>45941.0</v>
      </c>
      <c r="N17" s="21">
        <f>IFERROR(__xludf.DUMMYFUNCTION("IF(M17="""","""", IF(UPPER(M17)=""N/A"",""N/A"",
 IFERROR( INDEX(SPLIT(M17,""/""),1,1) / INDEX(SPLIT(M17,""/""),1,2) , ""N/A"" )
))
"),0.9090909090909091)</f>
        <v>0.9090909091</v>
      </c>
      <c r="O17" s="22">
        <v>45815.0</v>
      </c>
      <c r="P17" s="21">
        <f>IFERROR(__xludf.DUMMYFUNCTION("IF(O17="""","""", IF(UPPER(O17)=""N/A"",""N/A"",
 IFERROR( INDEX(SPLIT(O17,""/""),1,1) / INDEX(SPLIT(O17,""/""),1,2) , ""N/A"" )
))
"),0.8571428571428571)</f>
        <v>0.8571428571</v>
      </c>
      <c r="Q17" s="22">
        <v>45819.0</v>
      </c>
      <c r="R17" s="21">
        <f>IFERROR(__xludf.DUMMYFUNCTION("IF(Q17="""","""", IF(UPPER(Q17)=""N/A"",""N/A"",
 IFERROR( INDEX(SPLIT(Q17,""/""),1,1) / INDEX(SPLIT(Q17,""/""),1,2) , ""N/A"" )
))
"),0.5454545454545454)</f>
        <v>0.5454545455</v>
      </c>
      <c r="S17" s="22">
        <v>45943.0</v>
      </c>
      <c r="T17" s="21">
        <f>IFERROR(__xludf.DUMMYFUNCTION("IF(S17="""","""", IF(UPPER(S17)=""N/A"",""N/A"",
 IFERROR( INDEX(SPLIT(S17,""/""),1,1) / INDEX(SPLIT(S17,""/""),1,2) , ""N/A"" )
))
"),0.7692307692307693)</f>
        <v>0.7692307692</v>
      </c>
      <c r="U17" s="22">
        <v>45846.0</v>
      </c>
      <c r="V17" s="21">
        <f>IFERROR(__xludf.DUMMYFUNCTION("IF(U17="""","""", IF(UPPER(U17)=""N/A"",""N/A"",
 IFERROR( INDEX(SPLIT(U17,""/""),1,1) / INDEX(SPLIT(U17,""/""),1,2) , ""N/A"" )
))
"),0.875)</f>
        <v>0.875</v>
      </c>
    </row>
    <row r="18" ht="21.0" customHeight="1">
      <c r="A18" s="23"/>
      <c r="B18" s="24" t="s">
        <v>46</v>
      </c>
      <c r="C18" s="18" t="s">
        <v>19</v>
      </c>
      <c r="D18" s="18" t="s">
        <v>19</v>
      </c>
      <c r="E18" s="18" t="s">
        <v>19</v>
      </c>
      <c r="F18" s="19">
        <f t="shared" si="1"/>
        <v>0.8358901515</v>
      </c>
      <c r="G18" s="22">
        <v>45881.0</v>
      </c>
      <c r="H18" s="21">
        <f>IFERROR(__xludf.DUMMYFUNCTION("IF(G18="""","""", IF(UPPER(G18)=""N/A"",""N/A"",
 IFERROR( INDEX(SPLIT(G18,""/""),1,1) / INDEX(SPLIT(G18,""/""),1,2) , ""N/A"" )
))
"),0.6666666666666666)</f>
        <v>0.6666666667</v>
      </c>
      <c r="I18" s="22">
        <v>45848.0</v>
      </c>
      <c r="J18" s="21">
        <f>IFERROR(__xludf.DUMMYFUNCTION("IF(I18="""","""", IF(UPPER(I18)=""N/A"",""N/A"",
 IFERROR( INDEX(SPLIT(I18,""/""),1,1) / INDEX(SPLIT(I18,""/""),1,2) , ""N/A"" )
))
"),0.7)</f>
        <v>0.7</v>
      </c>
      <c r="K18" s="22">
        <v>45910.0</v>
      </c>
      <c r="L18" s="21">
        <f>IFERROR(__xludf.DUMMYFUNCTION("IF(K18="""","""", IF(UPPER(K18)=""N/A"",""N/A"",
 IFERROR( INDEX(SPLIT(K18,""/""),1,1) / INDEX(SPLIT(K18,""/""),1,2) , ""N/A"" )
))
"),0.9)</f>
        <v>0.9</v>
      </c>
      <c r="M18" s="22">
        <v>45819.0</v>
      </c>
      <c r="N18" s="21">
        <f>IFERROR(__xludf.DUMMYFUNCTION("IF(M18="""","""", IF(UPPER(M18)=""N/A"",""N/A"",
 IFERROR( INDEX(SPLIT(M18,""/""),1,1) / INDEX(SPLIT(M18,""/""),1,2) , ""N/A"" )
))
"),0.5454545454545454)</f>
        <v>0.5454545455</v>
      </c>
      <c r="O18" s="22">
        <v>45845.0</v>
      </c>
      <c r="P18" s="21">
        <f>IFERROR(__xludf.DUMMYFUNCTION("IF(O18="""","""", IF(UPPER(O18)=""N/A"",""N/A"",
 IFERROR( INDEX(SPLIT(O18,""/""),1,1) / INDEX(SPLIT(O18,""/""),1,2) , ""N/A"" )
))
"),1.0)</f>
        <v>1</v>
      </c>
      <c r="Q18" s="22">
        <v>45972.0</v>
      </c>
      <c r="R18" s="21">
        <f>IFERROR(__xludf.DUMMYFUNCTION("IF(Q18="""","""", IF(UPPER(Q18)=""N/A"",""N/A"",
 IFERROR( INDEX(SPLIT(Q18,""/""),1,1) / INDEX(SPLIT(Q18,""/""),1,2) , ""N/A"" )
))
"),1.0)</f>
        <v>1</v>
      </c>
      <c r="S18" s="20" t="s">
        <v>22</v>
      </c>
      <c r="T18" s="21">
        <f>IFERROR(__xludf.DUMMYFUNCTION("IF(S18="""","""", IF(UPPER(S18)=""N/A"",""N/A"",
 IFERROR( INDEX(SPLIT(S18,""/""),1,1) / INDEX(SPLIT(S18,""/""),1,2) , ""N/A"" )
))
"),1.0)</f>
        <v>1</v>
      </c>
      <c r="U18" s="22">
        <v>45846.0</v>
      </c>
      <c r="V18" s="21">
        <f>IFERROR(__xludf.DUMMYFUNCTION("IF(U18="""","""", IF(UPPER(U18)=""N/A"",""N/A"",
 IFERROR( INDEX(SPLIT(U18,""/""),1,1) / INDEX(SPLIT(U18,""/""),1,2) , ""N/A"" )
))
"),0.875)</f>
        <v>0.875</v>
      </c>
    </row>
    <row r="19" ht="21.0" customHeight="1">
      <c r="A19" s="16"/>
      <c r="B19" s="24" t="s">
        <v>48</v>
      </c>
      <c r="C19" s="18" t="s">
        <v>19</v>
      </c>
      <c r="D19" s="18" t="s">
        <v>19</v>
      </c>
      <c r="E19" s="18" t="s">
        <v>19</v>
      </c>
      <c r="F19" s="19">
        <f t="shared" si="1"/>
        <v>0.7142857143</v>
      </c>
      <c r="G19" s="20" t="s">
        <v>21</v>
      </c>
      <c r="H19" s="21" t="str">
        <f>IFERROR(__xludf.DUMMYFUNCTION("IF(G19="""","""", IF(UPPER(G19)=""N/A"",""N/A"",
 IFERROR( INDEX(SPLIT(G19,""/""),1,1) / INDEX(SPLIT(G19,""/""),1,2) , ""N/A"" )
))
"),"N/A")</f>
        <v>N/A</v>
      </c>
      <c r="I19" s="20" t="s">
        <v>21</v>
      </c>
      <c r="J19" s="21" t="str">
        <f>IFERROR(__xludf.DUMMYFUNCTION("IF(I19="""","""", IF(UPPER(I19)=""N/A"",""N/A"",
 IFERROR( INDEX(SPLIT(I19,""/""),1,1) / INDEX(SPLIT(I19,""/""),1,2) , ""N/A"" )
))
"),"N/A")</f>
        <v>N/A</v>
      </c>
      <c r="K19" s="20" t="s">
        <v>21</v>
      </c>
      <c r="L19" s="21" t="str">
        <f>IFERROR(__xludf.DUMMYFUNCTION("IF(K19="""","""", IF(UPPER(K19)=""N/A"",""N/A"",
 IFERROR( INDEX(SPLIT(K19,""/""),1,1) / INDEX(SPLIT(K19,""/""),1,2) , ""N/A"" )
))
"),"N/A")</f>
        <v>N/A</v>
      </c>
      <c r="M19" s="20" t="s">
        <v>21</v>
      </c>
      <c r="N19" s="21" t="str">
        <f>IFERROR(__xludf.DUMMYFUNCTION("IF(M19="""","""", IF(UPPER(M19)=""N/A"",""N/A"",
 IFERROR( INDEX(SPLIT(M19,""/""),1,1) / INDEX(SPLIT(M19,""/""),1,2) , ""N/A"" )
))
"),"N/A")</f>
        <v>N/A</v>
      </c>
      <c r="O19" s="22">
        <v>45784.0</v>
      </c>
      <c r="P19" s="21">
        <f>IFERROR(__xludf.DUMMYFUNCTION("IF(O19="""","""", IF(UPPER(O19)=""N/A"",""N/A"",
 IFERROR( INDEX(SPLIT(O19,""/""),1,1) / INDEX(SPLIT(O19,""/""),1,2) , ""N/A"" )
))
"),0.7142857142857143)</f>
        <v>0.7142857143</v>
      </c>
      <c r="Q19" s="20" t="s">
        <v>21</v>
      </c>
      <c r="R19" s="21" t="str">
        <f>IFERROR(__xludf.DUMMYFUNCTION("IF(Q19="""","""", IF(UPPER(Q19)=""N/A"",""N/A"",
 IFERROR( INDEX(SPLIT(Q19,""/""),1,1) / INDEX(SPLIT(Q19,""/""),1,2) , ""N/A"" )
))
"),"N/A")</f>
        <v>N/A</v>
      </c>
      <c r="S19" s="20" t="s">
        <v>21</v>
      </c>
      <c r="T19" s="21" t="str">
        <f>IFERROR(__xludf.DUMMYFUNCTION("IF(S19="""","""", IF(UPPER(S19)=""N/A"",""N/A"",
 IFERROR( INDEX(SPLIT(S19,""/""),1,1) / INDEX(SPLIT(S19,""/""),1,2) , ""N/A"" )
))
"),"N/A")</f>
        <v>N/A</v>
      </c>
      <c r="U19" s="20" t="s">
        <v>21</v>
      </c>
      <c r="V19" s="21" t="str">
        <f>IFERROR(__xludf.DUMMYFUNCTION("IF(U19="""","""", IF(UPPER(U19)=""N/A"",""N/A"",
 IFERROR( INDEX(SPLIT(U19,""/""),1,1) / INDEX(SPLIT(U19,""/""),1,2) , ""N/A"" )
))
"),"N/A")</f>
        <v>N/A</v>
      </c>
    </row>
    <row r="20" ht="21.0" customHeight="1">
      <c r="A20" s="16"/>
      <c r="B20" s="17" t="s">
        <v>49</v>
      </c>
      <c r="C20" s="18" t="s">
        <v>19</v>
      </c>
      <c r="D20" s="18" t="s">
        <v>19</v>
      </c>
      <c r="E20" s="18" t="s">
        <v>19</v>
      </c>
      <c r="F20" s="19">
        <f t="shared" si="1"/>
        <v>0.6528971029</v>
      </c>
      <c r="G20" s="22">
        <v>45820.0</v>
      </c>
      <c r="H20" s="21">
        <f>IFERROR(__xludf.DUMMYFUNCTION("IF(G20="""","""", IF(UPPER(G20)=""N/A"",""N/A"",
 IFERROR( INDEX(SPLIT(G20,""/""),1,1) / INDEX(SPLIT(G20,""/""),1,2) , ""N/A"" )
))
"),0.5)</f>
        <v>0.5</v>
      </c>
      <c r="I20" s="22">
        <v>45787.0</v>
      </c>
      <c r="J20" s="21">
        <f>IFERROR(__xludf.DUMMYFUNCTION("IF(I20="""","""", IF(UPPER(I20)=""N/A"",""N/A"",
 IFERROR( INDEX(SPLIT(I20,""/""),1,1) / INDEX(SPLIT(I20,""/""),1,2) , ""N/A"" )
))
"),0.5)</f>
        <v>0.5</v>
      </c>
      <c r="K20" s="22">
        <v>45910.0</v>
      </c>
      <c r="L20" s="21">
        <f>IFERROR(__xludf.DUMMYFUNCTION("IF(K20="""","""", IF(UPPER(K20)=""N/A"",""N/A"",
 IFERROR( INDEX(SPLIT(K20,""/""),1,1) / INDEX(SPLIT(K20,""/""),1,2) , ""N/A"" )
))
"),0.9)</f>
        <v>0.9</v>
      </c>
      <c r="M20" s="22">
        <v>45941.0</v>
      </c>
      <c r="N20" s="21">
        <f>IFERROR(__xludf.DUMMYFUNCTION("IF(M20="""","""", IF(UPPER(M20)=""N/A"",""N/A"",
 IFERROR( INDEX(SPLIT(M20,""/""),1,1) / INDEX(SPLIT(M20,""/""),1,2) , ""N/A"" )
))
"),0.9090909090909091)</f>
        <v>0.9090909091</v>
      </c>
      <c r="O20" s="22">
        <v>45754.0</v>
      </c>
      <c r="P20" s="21">
        <f>IFERROR(__xludf.DUMMYFUNCTION("IF(O20="""","""", IF(UPPER(O20)=""N/A"",""N/A"",
 IFERROR( INDEX(SPLIT(O20,""/""),1,1) / INDEX(SPLIT(O20,""/""),1,2) , ""N/A"" )
))
"),0.5714285714285714)</f>
        <v>0.5714285714</v>
      </c>
      <c r="Q20" s="22">
        <v>45880.0</v>
      </c>
      <c r="R20" s="21">
        <f>IFERROR(__xludf.DUMMYFUNCTION("IF(Q20="""","""", IF(UPPER(Q20)=""N/A"",""N/A"",
 IFERROR( INDEX(SPLIT(Q20,""/""),1,1) / INDEX(SPLIT(Q20,""/""),1,2) , ""N/A"" )
))
"),0.7272727272727273)</f>
        <v>0.7272727273</v>
      </c>
      <c r="S20" s="22">
        <v>45882.0</v>
      </c>
      <c r="T20" s="21">
        <f>IFERROR(__xludf.DUMMYFUNCTION("IF(S20="""","""", IF(UPPER(S20)=""N/A"",""N/A"",
 IFERROR( INDEX(SPLIT(S20,""/""),1,1) / INDEX(SPLIT(S20,""/""),1,2) , ""N/A"" )
))
"),0.6153846153846154)</f>
        <v>0.6153846154</v>
      </c>
      <c r="U20" s="22">
        <v>45755.0</v>
      </c>
      <c r="V20" s="21">
        <f>IFERROR(__xludf.DUMMYFUNCTION("IF(U20="""","""", IF(UPPER(U20)=""N/A"",""N/A"",
 IFERROR( INDEX(SPLIT(U20,""/""),1,1) / INDEX(SPLIT(U20,""/""),1,2) , ""N/A"" )
))
"),0.5)</f>
        <v>0.5</v>
      </c>
    </row>
    <row r="21" ht="21.0" customHeight="1">
      <c r="A21" s="16"/>
      <c r="B21" s="17" t="s">
        <v>50</v>
      </c>
      <c r="C21" s="18" t="s">
        <v>19</v>
      </c>
      <c r="D21" s="18" t="s">
        <v>19</v>
      </c>
      <c r="E21" s="18" t="s">
        <v>19</v>
      </c>
      <c r="F21" s="19">
        <f t="shared" si="1"/>
        <v>0.8898601399</v>
      </c>
      <c r="G21" s="27"/>
      <c r="H21" s="28"/>
      <c r="I21" s="29"/>
      <c r="J21" s="28"/>
      <c r="K21" s="27"/>
      <c r="L21" s="28"/>
      <c r="M21" s="22">
        <v>45941.0</v>
      </c>
      <c r="N21" s="21">
        <f>IFERROR(__xludf.DUMMYFUNCTION("IF(M21="""","""", IF(UPPER(M21)=""N/A"",""N/A"",
 IFERROR( INDEX(SPLIT(M21,""/""),1,1) / INDEX(SPLIT(M21,""/""),1,2) , ""N/A"" )
))
"),0.9090909090909091)</f>
        <v>0.9090909091</v>
      </c>
      <c r="O21" s="22">
        <v>45845.0</v>
      </c>
      <c r="P21" s="21">
        <f>IFERROR(__xludf.DUMMYFUNCTION("IF(O21="""","""", IF(UPPER(O21)=""N/A"",""N/A"",
 IFERROR( INDEX(SPLIT(O21,""/""),1,1) / INDEX(SPLIT(O21,""/""),1,2) , ""N/A"" )
))
"),1.0)</f>
        <v>1</v>
      </c>
      <c r="Q21" s="22">
        <v>45880.0</v>
      </c>
      <c r="R21" s="21">
        <f>IFERROR(__xludf.DUMMYFUNCTION("IF(Q21="""","""", IF(UPPER(Q21)=""N/A"",""N/A"",
 IFERROR( INDEX(SPLIT(Q21,""/""),1,1) / INDEX(SPLIT(Q21,""/""),1,2) , ""N/A"" )
))
"),0.7272727272727273)</f>
        <v>0.7272727273</v>
      </c>
      <c r="S21" s="22">
        <v>46004.0</v>
      </c>
      <c r="T21" s="21">
        <f>IFERROR(__xludf.DUMMYFUNCTION("IF(S21="""","""", IF(UPPER(S21)=""N/A"",""N/A"",
 IFERROR( INDEX(SPLIT(S21,""/""),1,1) / INDEX(SPLIT(S21,""/""),1,2) , ""N/A"" )
))
"),0.9230769230769231)</f>
        <v>0.9230769231</v>
      </c>
      <c r="U21" s="20" t="s">
        <v>21</v>
      </c>
      <c r="V21" s="21" t="str">
        <f>IFERROR(__xludf.DUMMYFUNCTION("IF(U21="""","""", IF(UPPER(U21)=""N/A"",""N/A"",
 IFERROR( INDEX(SPLIT(U21,""/""),1,1) / INDEX(SPLIT(U21,""/""),1,2) , ""N/A"" )
))
"),"N/A")</f>
        <v>N/A</v>
      </c>
    </row>
    <row r="22">
      <c r="A22" s="30"/>
      <c r="B22" s="35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1"/>
      <c r="V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1"/>
      <c r="V23" s="30"/>
    </row>
    <row r="24">
      <c r="A24" s="30"/>
      <c r="B24" s="30"/>
      <c r="C24" s="32"/>
      <c r="D24" s="30"/>
      <c r="E24" s="30"/>
      <c r="F24" s="30"/>
      <c r="G24" s="30"/>
      <c r="H24" s="30"/>
      <c r="I24" s="32"/>
      <c r="J24" s="30"/>
      <c r="K24" s="30"/>
      <c r="L24" s="32"/>
      <c r="M24" s="30"/>
      <c r="N24" s="32"/>
      <c r="O24" s="30"/>
      <c r="P24" s="30"/>
      <c r="Q24" s="32"/>
      <c r="R24" s="30"/>
      <c r="S24" s="30"/>
      <c r="T24" s="30"/>
      <c r="U24" s="31"/>
      <c r="V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1"/>
      <c r="V25" s="30"/>
    </row>
    <row r="26">
      <c r="A26" s="30"/>
      <c r="B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1"/>
      <c r="V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1"/>
      <c r="V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1"/>
      <c r="V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1"/>
      <c r="V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1"/>
      <c r="V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1"/>
      <c r="V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1"/>
      <c r="V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1"/>
      <c r="V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1"/>
      <c r="V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1"/>
      <c r="V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1"/>
      <c r="V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1"/>
      <c r="V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</row>
    <row r="927">
      <c r="A927" s="30"/>
      <c r="B927" s="30"/>
      <c r="C927" s="30"/>
      <c r="D927" s="30"/>
      <c r="E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</row>
    <row r="928">
      <c r="A928" s="30"/>
      <c r="B928" s="30"/>
      <c r="C928" s="30"/>
      <c r="D928" s="30"/>
      <c r="E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</row>
    <row r="929">
      <c r="A929" s="30"/>
      <c r="B929" s="30"/>
      <c r="C929" s="30"/>
      <c r="D929" s="30"/>
      <c r="E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</row>
    <row r="930">
      <c r="A930" s="30"/>
      <c r="B930" s="30"/>
      <c r="C930" s="30"/>
      <c r="D930" s="30"/>
      <c r="E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</row>
    <row r="931">
      <c r="A931" s="30"/>
      <c r="B931" s="30"/>
      <c r="C931" s="30"/>
      <c r="D931" s="30"/>
      <c r="E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</row>
    <row r="932">
      <c r="A932" s="30"/>
      <c r="B932" s="30"/>
      <c r="C932" s="30"/>
      <c r="D932" s="30"/>
      <c r="E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</row>
    <row r="933">
      <c r="A933" s="30"/>
      <c r="B933" s="30"/>
      <c r="C933" s="30"/>
      <c r="D933" s="30"/>
      <c r="E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</row>
    <row r="934">
      <c r="A934" s="30"/>
      <c r="B934" s="30"/>
      <c r="C934" s="30"/>
      <c r="D934" s="30"/>
      <c r="E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</row>
    <row r="935">
      <c r="A935" s="30"/>
      <c r="B935" s="30"/>
      <c r="C935" s="30"/>
      <c r="D935" s="30"/>
      <c r="E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</row>
    <row r="936">
      <c r="A936" s="30"/>
      <c r="B936" s="30"/>
      <c r="C936" s="30"/>
      <c r="D936" s="30"/>
      <c r="E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</row>
    <row r="937">
      <c r="A937" s="30"/>
      <c r="B937" s="30"/>
      <c r="C937" s="30"/>
      <c r="D937" s="30"/>
      <c r="E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</row>
    <row r="938">
      <c r="A938" s="30"/>
      <c r="B938" s="30"/>
      <c r="C938" s="30"/>
      <c r="D938" s="30"/>
      <c r="E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</row>
    <row r="939">
      <c r="A939" s="30"/>
      <c r="B939" s="30"/>
      <c r="C939" s="30"/>
      <c r="D939" s="30"/>
      <c r="E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</row>
  </sheetData>
  <mergeCells count="32">
    <mergeCell ref="O2:P2"/>
    <mergeCell ref="Q2:R2"/>
    <mergeCell ref="S2:T2"/>
    <mergeCell ref="U2:V2"/>
    <mergeCell ref="A1:E1"/>
    <mergeCell ref="Q1:R1"/>
    <mergeCell ref="A2:E2"/>
    <mergeCell ref="G2:H2"/>
    <mergeCell ref="I2:J2"/>
    <mergeCell ref="K2:L2"/>
    <mergeCell ref="M2:N2"/>
    <mergeCell ref="A3:A4"/>
    <mergeCell ref="B3:B4"/>
    <mergeCell ref="C3:C4"/>
    <mergeCell ref="D3:E4"/>
    <mergeCell ref="F3:F4"/>
    <mergeCell ref="G3:G4"/>
    <mergeCell ref="H3:H4"/>
    <mergeCell ref="P3:P4"/>
    <mergeCell ref="Q3:Q4"/>
    <mergeCell ref="R3:R4"/>
    <mergeCell ref="S3:S4"/>
    <mergeCell ref="T3:T4"/>
    <mergeCell ref="U3:U4"/>
    <mergeCell ref="V3:V4"/>
    <mergeCell ref="I3:I4"/>
    <mergeCell ref="J3:J4"/>
    <mergeCell ref="K3:K4"/>
    <mergeCell ref="L3:L4"/>
    <mergeCell ref="M3:M4"/>
    <mergeCell ref="N3:N4"/>
    <mergeCell ref="O3:O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5.5"/>
    <col customWidth="1" min="2" max="2" width="11.13"/>
    <col customWidth="1" min="3" max="3" width="17.63"/>
    <col customWidth="1" min="4" max="4" width="12.63"/>
    <col customWidth="1" min="5" max="6" width="5.75"/>
  </cols>
  <sheetData>
    <row r="1">
      <c r="A1" s="1" t="s">
        <v>68</v>
      </c>
      <c r="B1" s="2"/>
      <c r="C1" s="2"/>
      <c r="D1" s="2"/>
      <c r="E1" s="3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3"/>
      <c r="F2" s="6"/>
      <c r="G2" s="7" t="s">
        <v>2</v>
      </c>
      <c r="H2" s="3"/>
      <c r="I2" s="7" t="s">
        <v>3</v>
      </c>
      <c r="J2" s="3"/>
      <c r="K2" s="7" t="s">
        <v>4</v>
      </c>
      <c r="L2" s="3"/>
      <c r="M2" s="7" t="s">
        <v>5</v>
      </c>
      <c r="N2" s="3"/>
      <c r="O2" s="7" t="s">
        <v>6</v>
      </c>
      <c r="P2" s="3"/>
      <c r="Q2" s="7" t="s">
        <v>7</v>
      </c>
      <c r="R2" s="3"/>
      <c r="S2" s="7" t="s">
        <v>8</v>
      </c>
      <c r="T2" s="3"/>
      <c r="U2" s="7" t="s">
        <v>9</v>
      </c>
      <c r="V2" s="3"/>
      <c r="W2" s="7" t="s">
        <v>10</v>
      </c>
      <c r="X2" s="3"/>
      <c r="Y2" s="7" t="s">
        <v>11</v>
      </c>
      <c r="Z2" s="3"/>
    </row>
    <row r="3">
      <c r="A3" s="8"/>
      <c r="B3" s="9" t="s">
        <v>12</v>
      </c>
      <c r="C3" s="9" t="s">
        <v>13</v>
      </c>
      <c r="D3" s="10" t="s">
        <v>14</v>
      </c>
      <c r="E3" s="11"/>
      <c r="F3" s="12" t="s">
        <v>15</v>
      </c>
      <c r="G3" s="13" t="s">
        <v>16</v>
      </c>
      <c r="H3" s="14" t="s">
        <v>17</v>
      </c>
      <c r="I3" s="13" t="s">
        <v>16</v>
      </c>
      <c r="J3" s="14" t="s">
        <v>17</v>
      </c>
      <c r="K3" s="13" t="s">
        <v>16</v>
      </c>
      <c r="L3" s="14" t="s">
        <v>17</v>
      </c>
      <c r="M3" s="13" t="s">
        <v>16</v>
      </c>
      <c r="N3" s="14" t="s">
        <v>17</v>
      </c>
      <c r="O3" s="13" t="s">
        <v>16</v>
      </c>
      <c r="P3" s="14" t="s">
        <v>17</v>
      </c>
      <c r="Q3" s="13" t="s">
        <v>16</v>
      </c>
      <c r="R3" s="14" t="s">
        <v>17</v>
      </c>
      <c r="S3" s="13" t="s">
        <v>16</v>
      </c>
      <c r="T3" s="14" t="s">
        <v>17</v>
      </c>
      <c r="U3" s="13" t="s">
        <v>16</v>
      </c>
      <c r="V3" s="14" t="s">
        <v>17</v>
      </c>
      <c r="W3" s="13" t="s">
        <v>16</v>
      </c>
      <c r="X3" s="14" t="s">
        <v>17</v>
      </c>
      <c r="Y3" s="13" t="s">
        <v>16</v>
      </c>
      <c r="Z3" s="14" t="s">
        <v>17</v>
      </c>
    </row>
    <row r="4">
      <c r="A4" s="15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0" customHeight="1">
      <c r="A5" s="16"/>
      <c r="B5" s="17" t="s">
        <v>18</v>
      </c>
      <c r="C5" s="18" t="s">
        <v>19</v>
      </c>
      <c r="D5" s="18" t="s">
        <v>19</v>
      </c>
      <c r="E5" s="26">
        <v>10.0</v>
      </c>
      <c r="F5" s="19">
        <f t="shared" ref="F5:F13" si="1">AVERAGE(H5,J5,L5,N5,P5,R5,T5,V5,X5,Z5,AB5,AD5,AF5)</f>
        <v>0.9105263158</v>
      </c>
      <c r="G5" s="20" t="s">
        <v>69</v>
      </c>
      <c r="H5" s="21">
        <f>IFERROR(__xludf.DUMMYFUNCTION("IF(G5="""","""", IF(UPPER(G5)=""N/A"",""N/A"",
 IFERROR( INDEX(SPLIT(G5,""/""),1,1) / INDEX(SPLIT(G5,""/""),1,2) , ""N/A"" )
))
"),0.9666666666666667)</f>
        <v>0.9666666667</v>
      </c>
      <c r="I5" s="20" t="s">
        <v>70</v>
      </c>
      <c r="J5" s="21">
        <f>IFERROR(__xludf.DUMMYFUNCTION("IF(I5="""","""", IF(UPPER(I5)=""N/A"",""N/A"",
 IFERROR( INDEX(SPLIT(I5,""/""),1,1) / INDEX(SPLIT(I5,""/""),1,2) , ""N/A"" )
))
"),0.8666666666666667)</f>
        <v>0.8666666667</v>
      </c>
      <c r="K5" s="20" t="s">
        <v>71</v>
      </c>
      <c r="L5" s="21">
        <f>IFERROR(__xludf.DUMMYFUNCTION("IF(K5="""","""", IF(UPPER(K5)=""N/A"",""N/A"",
 IFERROR( INDEX(SPLIT(K5,""/""),1,1) / INDEX(SPLIT(K5,""/""),1,2) , ""N/A"" )
))
"),0.8333333333333334)</f>
        <v>0.8333333333</v>
      </c>
      <c r="M5" s="20" t="s">
        <v>72</v>
      </c>
      <c r="N5" s="21">
        <f>IFERROR(__xludf.DUMMYFUNCTION("IF(M5="""","""", IF(UPPER(M5)=""N/A"",""N/A"",
 IFERROR( INDEX(SPLIT(M5,""/""),1,1) / INDEX(SPLIT(M5,""/""),1,2) , ""N/A"" )
))
"),0.8947368421052632)</f>
        <v>0.8947368421</v>
      </c>
      <c r="O5" s="20" t="s">
        <v>73</v>
      </c>
      <c r="P5" s="21">
        <f>IFERROR(__xludf.DUMMYFUNCTION("IF(O5="""","""", IF(UPPER(O5)=""N/A"",""N/A"",
 IFERROR( INDEX(SPLIT(O5,""/""),1,1) / INDEX(SPLIT(O5,""/""),1,2) , ""N/A"" )
))
"),1.0)</f>
        <v>1</v>
      </c>
      <c r="Q5" s="20" t="s">
        <v>71</v>
      </c>
      <c r="R5" s="21">
        <f>IFERROR(__xludf.DUMMYFUNCTION("IF(Q5="""","""", IF(UPPER(Q5)=""N/A"",""N/A"",
 IFERROR( INDEX(SPLIT(Q5,""/""),1,1) / INDEX(SPLIT(Q5,""/""),1,2) , ""N/A"" )
))
"),0.8333333333333334)</f>
        <v>0.8333333333</v>
      </c>
      <c r="S5" s="20" t="s">
        <v>71</v>
      </c>
      <c r="T5" s="21">
        <f>IFERROR(__xludf.DUMMYFUNCTION("IF(S5="""","""", IF(UPPER(S5)=""N/A"",""N/A"",
 IFERROR( INDEX(SPLIT(S5,""/""),1,1) / INDEX(SPLIT(S5,""/""),1,2) , ""N/A"" )
))
"),0.8333333333333334)</f>
        <v>0.8333333333</v>
      </c>
      <c r="U5" s="20" t="s">
        <v>69</v>
      </c>
      <c r="V5" s="21">
        <f>IFERROR(__xludf.DUMMYFUNCTION("IF(U5="""","""", IF(UPPER(U5)=""N/A"",""N/A"",
 IFERROR( INDEX(SPLIT(U5,""/""),1,1) / INDEX(SPLIT(U5,""/""),1,2) , ""N/A"" )
))
"),0.9666666666666667)</f>
        <v>0.9666666667</v>
      </c>
      <c r="W5" s="20" t="s">
        <v>73</v>
      </c>
      <c r="X5" s="21">
        <f>IFERROR(__xludf.DUMMYFUNCTION("IF(W5="""","""", IF(UPPER(W5)=""N/A"",""N/A"",
 IFERROR( INDEX(SPLIT(W5,""/""),1,1) / INDEX(SPLIT(W5,""/""),1,2) , ""N/A"" )
))
"),1.0)</f>
        <v>1</v>
      </c>
      <c r="Y5" s="20" t="s">
        <v>21</v>
      </c>
      <c r="Z5" s="21" t="str">
        <f>IFERROR(__xludf.DUMMYFUNCTION("IF(Y5="""","""", IF(UPPER(Y5)=""N/A"",""N/A"",
 IFERROR( INDEX(SPLIT(Y5,""/""),1,1) / INDEX(SPLIT(Y5,""/""),1,2) , ""N/A"" )
))
"),"N/A")</f>
        <v>N/A</v>
      </c>
    </row>
    <row r="6" ht="21.0" customHeight="1">
      <c r="A6" s="23"/>
      <c r="B6" s="24" t="s">
        <v>23</v>
      </c>
      <c r="C6" s="18" t="s">
        <v>19</v>
      </c>
      <c r="D6" s="18" t="s">
        <v>19</v>
      </c>
      <c r="E6" s="26">
        <v>9.0</v>
      </c>
      <c r="F6" s="19">
        <f t="shared" si="1"/>
        <v>0.96</v>
      </c>
      <c r="G6" s="20" t="s">
        <v>74</v>
      </c>
      <c r="H6" s="21">
        <f>IFERROR(__xludf.DUMMYFUNCTION("IF(G6="""","""", IF(UPPER(G6)=""N/A"",""N/A"",
 IFERROR( INDEX(SPLIT(G6,""/""),1,1) / INDEX(SPLIT(G6,""/""),1,2) , ""N/A"" )
))
"),0.9)</f>
        <v>0.9</v>
      </c>
      <c r="I6" s="20" t="s">
        <v>75</v>
      </c>
      <c r="J6" s="21">
        <f>IFERROR(__xludf.DUMMYFUNCTION("IF(I6="""","""", IF(UPPER(I6)=""N/A"",""N/A"",
 IFERROR( INDEX(SPLIT(I6,""/""),1,1) / INDEX(SPLIT(I6,""/""),1,2) , ""N/A"" )
))
"),0.9333333333333333)</f>
        <v>0.9333333333</v>
      </c>
      <c r="K6" s="20" t="s">
        <v>70</v>
      </c>
      <c r="L6" s="21">
        <f>IFERROR(__xludf.DUMMYFUNCTION("IF(K6="""","""", IF(UPPER(K6)=""N/A"",""N/A"",
 IFERROR( INDEX(SPLIT(K6,""/""),1,1) / INDEX(SPLIT(K6,""/""),1,2) , ""N/A"" )
))
"),0.8666666666666667)</f>
        <v>0.8666666667</v>
      </c>
      <c r="M6" s="20" t="s">
        <v>76</v>
      </c>
      <c r="N6" s="21">
        <f>IFERROR(__xludf.DUMMYFUNCTION("IF(M6="""","""", IF(UPPER(M6)=""N/A"",""N/A"",
 IFERROR( INDEX(SPLIT(M6,""/""),1,1) / INDEX(SPLIT(M6,""/""),1,2) , ""N/A"" )
))
"),1.0)</f>
        <v>1</v>
      </c>
      <c r="O6" s="20" t="s">
        <v>73</v>
      </c>
      <c r="P6" s="21">
        <f>IFERROR(__xludf.DUMMYFUNCTION("IF(O6="""","""", IF(UPPER(O6)=""N/A"",""N/A"",
 IFERROR( INDEX(SPLIT(O6,""/""),1,1) / INDEX(SPLIT(O6,""/""),1,2) , ""N/A"" )
))
"),1.0)</f>
        <v>1</v>
      </c>
      <c r="Q6" s="20" t="s">
        <v>73</v>
      </c>
      <c r="R6" s="21">
        <f>IFERROR(__xludf.DUMMYFUNCTION("IF(Q6="""","""", IF(UPPER(Q6)=""N/A"",""N/A"",
 IFERROR( INDEX(SPLIT(Q6,""/""),1,1) / INDEX(SPLIT(Q6,""/""),1,2) , ""N/A"" )
))
"),1.0)</f>
        <v>1</v>
      </c>
      <c r="S6" s="20" t="s">
        <v>73</v>
      </c>
      <c r="T6" s="21">
        <f>IFERROR(__xludf.DUMMYFUNCTION("IF(S6="""","""", IF(UPPER(S6)=""N/A"",""N/A"",
 IFERROR( INDEX(SPLIT(S6,""/""),1,1) / INDEX(SPLIT(S6,""/""),1,2) , ""N/A"" )
))
"),1.0)</f>
        <v>1</v>
      </c>
      <c r="U6" s="20" t="s">
        <v>73</v>
      </c>
      <c r="V6" s="21">
        <f>IFERROR(__xludf.DUMMYFUNCTION("IF(U6="""","""", IF(UPPER(U6)=""N/A"",""N/A"",
 IFERROR( INDEX(SPLIT(U6,""/""),1,1) / INDEX(SPLIT(U6,""/""),1,2) , ""N/A"" )
))
"),1.0)</f>
        <v>1</v>
      </c>
      <c r="W6" s="20" t="s">
        <v>74</v>
      </c>
      <c r="X6" s="21">
        <f>IFERROR(__xludf.DUMMYFUNCTION("IF(W6="""","""", IF(UPPER(W6)=""N/A"",""N/A"",
 IFERROR( INDEX(SPLIT(W6,""/""),1,1) / INDEX(SPLIT(W6,""/""),1,2) , ""N/A"" )
))
"),0.9)</f>
        <v>0.9</v>
      </c>
      <c r="Y6" s="20" t="s">
        <v>73</v>
      </c>
      <c r="Z6" s="21">
        <f>IFERROR(__xludf.DUMMYFUNCTION("IF(Y6="""","""", IF(UPPER(Y6)=""N/A"",""N/A"",
 IFERROR( INDEX(SPLIT(Y6,""/""),1,1) / INDEX(SPLIT(Y6,""/""),1,2) , ""N/A"" )
))
"),1.0)</f>
        <v>1</v>
      </c>
    </row>
    <row r="7" ht="21.0" customHeight="1">
      <c r="A7" s="16"/>
      <c r="B7" s="24" t="s">
        <v>27</v>
      </c>
      <c r="C7" s="18" t="s">
        <v>19</v>
      </c>
      <c r="D7" s="18" t="s">
        <v>19</v>
      </c>
      <c r="E7" s="26">
        <v>7.0</v>
      </c>
      <c r="F7" s="19">
        <f t="shared" si="1"/>
        <v>0.9904483431</v>
      </c>
      <c r="G7" s="20" t="s">
        <v>73</v>
      </c>
      <c r="H7" s="21">
        <f>IFERROR(__xludf.DUMMYFUNCTION("IF(G7="""","""", IF(UPPER(G7)=""N/A"",""N/A"",
 IFERROR( INDEX(SPLIT(G7,""/""),1,1) / INDEX(SPLIT(G7,""/""),1,2) , ""N/A"" )
))
"),1.0)</f>
        <v>1</v>
      </c>
      <c r="I7" s="20" t="s">
        <v>73</v>
      </c>
      <c r="J7" s="21">
        <f>IFERROR(__xludf.DUMMYFUNCTION("IF(I7="""","""", IF(UPPER(I7)=""N/A"",""N/A"",
 IFERROR( INDEX(SPLIT(I7,""/""),1,1) / INDEX(SPLIT(I7,""/""),1,2) , ""N/A"" )
))
"),1.0)</f>
        <v>1</v>
      </c>
      <c r="K7" s="20" t="s">
        <v>73</v>
      </c>
      <c r="L7" s="21">
        <f>IFERROR(__xludf.DUMMYFUNCTION("IF(K7="""","""", IF(UPPER(K7)=""N/A"",""N/A"",
 IFERROR( INDEX(SPLIT(K7,""/""),1,1) / INDEX(SPLIT(K7,""/""),1,2) , ""N/A"" )
))
"),1.0)</f>
        <v>1</v>
      </c>
      <c r="M7" s="20" t="s">
        <v>77</v>
      </c>
      <c r="N7" s="21">
        <f>IFERROR(__xludf.DUMMYFUNCTION("IF(M7="""","""", IF(UPPER(M7)=""N/A"",""N/A"",
 IFERROR( INDEX(SPLIT(M7,""/""),1,1) / INDEX(SPLIT(M7,""/""),1,2) , ""N/A"" )
))
"),0.9473684210526315)</f>
        <v>0.9473684211</v>
      </c>
      <c r="O7" s="20" t="s">
        <v>69</v>
      </c>
      <c r="P7" s="21">
        <f>IFERROR(__xludf.DUMMYFUNCTION("IF(O7="""","""", IF(UPPER(O7)=""N/A"",""N/A"",
 IFERROR( INDEX(SPLIT(O7,""/""),1,1) / INDEX(SPLIT(O7,""/""),1,2) , ""N/A"" )
))
"),0.9666666666666667)</f>
        <v>0.9666666667</v>
      </c>
      <c r="Q7" s="20" t="s">
        <v>73</v>
      </c>
      <c r="R7" s="21">
        <f>IFERROR(__xludf.DUMMYFUNCTION("IF(Q7="""","""", IF(UPPER(Q7)=""N/A"",""N/A"",
 IFERROR( INDEX(SPLIT(Q7,""/""),1,1) / INDEX(SPLIT(Q7,""/""),1,2) , ""N/A"" )
))
"),1.0)</f>
        <v>1</v>
      </c>
      <c r="S7" s="20" t="s">
        <v>73</v>
      </c>
      <c r="T7" s="21">
        <f>IFERROR(__xludf.DUMMYFUNCTION("IF(S7="""","""", IF(UPPER(S7)=""N/A"",""N/A"",
 IFERROR( INDEX(SPLIT(S7,""/""),1,1) / INDEX(SPLIT(S7,""/""),1,2) , ""N/A"" )
))
"),1.0)</f>
        <v>1</v>
      </c>
      <c r="U7" s="20" t="s">
        <v>21</v>
      </c>
      <c r="V7" s="21" t="str">
        <f>IFERROR(__xludf.DUMMYFUNCTION("IF(U7="""","""", IF(UPPER(U7)=""N/A"",""N/A"",
 IFERROR( INDEX(SPLIT(U7,""/""),1,1) / INDEX(SPLIT(U7,""/""),1,2) , ""N/A"" )
))
"),"N/A")</f>
        <v>N/A</v>
      </c>
      <c r="W7" s="20" t="s">
        <v>73</v>
      </c>
      <c r="X7" s="21">
        <f>IFERROR(__xludf.DUMMYFUNCTION("IF(W7="""","""", IF(UPPER(W7)=""N/A"",""N/A"",
 IFERROR( INDEX(SPLIT(W7,""/""),1,1) / INDEX(SPLIT(W7,""/""),1,2) , ""N/A"" )
))
"),1.0)</f>
        <v>1</v>
      </c>
      <c r="Y7" s="20" t="s">
        <v>73</v>
      </c>
      <c r="Z7" s="21">
        <f>IFERROR(__xludf.DUMMYFUNCTION("IF(Y7="""","""", IF(UPPER(Y7)=""N/A"",""N/A"",
 IFERROR( INDEX(SPLIT(Y7,""/""),1,1) / INDEX(SPLIT(Y7,""/""),1,2) , ""N/A"" )
))
"),1.0)</f>
        <v>1</v>
      </c>
    </row>
    <row r="8" ht="21.0" customHeight="1">
      <c r="A8" s="16"/>
      <c r="B8" s="17" t="s">
        <v>31</v>
      </c>
      <c r="C8" s="18" t="s">
        <v>19</v>
      </c>
      <c r="D8" s="18" t="s">
        <v>19</v>
      </c>
      <c r="E8" s="26">
        <v>11.0</v>
      </c>
      <c r="F8" s="19">
        <f t="shared" si="1"/>
        <v>0.9444444444</v>
      </c>
      <c r="G8" s="20" t="s">
        <v>75</v>
      </c>
      <c r="H8" s="21">
        <f>IFERROR(__xludf.DUMMYFUNCTION("IF(G8="""","""", IF(UPPER(G8)=""N/A"",""N/A"",
 IFERROR( INDEX(SPLIT(G8,""/""),1,1) / INDEX(SPLIT(G8,""/""),1,2) , ""N/A"" )
))
"),0.9333333333333333)</f>
        <v>0.9333333333</v>
      </c>
      <c r="I8" s="20" t="s">
        <v>75</v>
      </c>
      <c r="J8" s="21">
        <f>IFERROR(__xludf.DUMMYFUNCTION("IF(I8="""","""", IF(UPPER(I8)=""N/A"",""N/A"",
 IFERROR( INDEX(SPLIT(I8,""/""),1,1) / INDEX(SPLIT(I8,""/""),1,2) , ""N/A"" )
))
"),0.9333333333333333)</f>
        <v>0.9333333333</v>
      </c>
      <c r="K8" s="20" t="s">
        <v>75</v>
      </c>
      <c r="L8" s="21">
        <f>IFERROR(__xludf.DUMMYFUNCTION("IF(K8="""","""", IF(UPPER(K8)=""N/A"",""N/A"",
 IFERROR( INDEX(SPLIT(K8,""/""),1,1) / INDEX(SPLIT(K8,""/""),1,2) , ""N/A"" )
))
"),0.9333333333333333)</f>
        <v>0.9333333333</v>
      </c>
      <c r="M8" s="20" t="s">
        <v>70</v>
      </c>
      <c r="N8" s="21">
        <f>IFERROR(__xludf.DUMMYFUNCTION("IF(M8="""","""", IF(UPPER(M8)=""N/A"",""N/A"",
 IFERROR( INDEX(SPLIT(M8,""/""),1,1) / INDEX(SPLIT(M8,""/""),1,2) , ""N/A"" )
))
"),0.8666666666666667)</f>
        <v>0.8666666667</v>
      </c>
      <c r="O8" s="20" t="s">
        <v>21</v>
      </c>
      <c r="P8" s="21" t="str">
        <f>IFERROR(__xludf.DUMMYFUNCTION("IF(O8="""","""", IF(UPPER(O8)=""N/A"",""N/A"",
 IFERROR( INDEX(SPLIT(O8,""/""),1,1) / INDEX(SPLIT(O8,""/""),1,2) , ""N/A"" )
))
"),"N/A")</f>
        <v>N/A</v>
      </c>
      <c r="Q8" s="20" t="s">
        <v>73</v>
      </c>
      <c r="R8" s="21">
        <f>IFERROR(__xludf.DUMMYFUNCTION("IF(Q8="""","""", IF(UPPER(Q8)=""N/A"",""N/A"",
 IFERROR( INDEX(SPLIT(Q8,""/""),1,1) / INDEX(SPLIT(Q8,""/""),1,2) , ""N/A"" )
))
"),1.0)</f>
        <v>1</v>
      </c>
      <c r="S8" s="20" t="s">
        <v>74</v>
      </c>
      <c r="T8" s="21">
        <f>IFERROR(__xludf.DUMMYFUNCTION("IF(S8="""","""", IF(UPPER(S8)=""N/A"",""N/A"",
 IFERROR( INDEX(SPLIT(S8,""/""),1,1) / INDEX(SPLIT(S8,""/""),1,2) , ""N/A"" )
))
"),0.9)</f>
        <v>0.9</v>
      </c>
      <c r="U8" s="20" t="s">
        <v>73</v>
      </c>
      <c r="V8" s="21">
        <f>IFERROR(__xludf.DUMMYFUNCTION("IF(U8="""","""", IF(UPPER(U8)=""N/A"",""N/A"",
 IFERROR( INDEX(SPLIT(U8,""/""),1,1) / INDEX(SPLIT(U8,""/""),1,2) , ""N/A"" )
))
"),1.0)</f>
        <v>1</v>
      </c>
      <c r="W8" s="20" t="s">
        <v>75</v>
      </c>
      <c r="X8" s="21">
        <f>IFERROR(__xludf.DUMMYFUNCTION("IF(W8="""","""", IF(UPPER(W8)=""N/A"",""N/A"",
 IFERROR( INDEX(SPLIT(W8,""/""),1,1) / INDEX(SPLIT(W8,""/""),1,2) , ""N/A"" )
))
"),0.9333333333333333)</f>
        <v>0.9333333333</v>
      </c>
      <c r="Y8" s="20" t="s">
        <v>73</v>
      </c>
      <c r="Z8" s="21">
        <f>IFERROR(__xludf.DUMMYFUNCTION("IF(Y8="""","""", IF(UPPER(Y8)=""N/A"",""N/A"",
 IFERROR( INDEX(SPLIT(Y8,""/""),1,1) / INDEX(SPLIT(Y8,""/""),1,2) , ""N/A"" )
))
"),1.0)</f>
        <v>1</v>
      </c>
    </row>
    <row r="9" ht="21.0" customHeight="1">
      <c r="A9" s="16"/>
      <c r="B9" s="17" t="s">
        <v>32</v>
      </c>
      <c r="C9" s="18" t="s">
        <v>19</v>
      </c>
      <c r="D9" s="18" t="s">
        <v>19</v>
      </c>
      <c r="E9" s="26">
        <v>9.0</v>
      </c>
      <c r="F9" s="19">
        <f t="shared" si="1"/>
        <v>0.9097465887</v>
      </c>
      <c r="G9" s="20" t="s">
        <v>75</v>
      </c>
      <c r="H9" s="21">
        <f>IFERROR(__xludf.DUMMYFUNCTION("IF(G9="""","""", IF(UPPER(G9)=""N/A"",""N/A"",
 IFERROR( INDEX(SPLIT(G9,""/""),1,1) / INDEX(SPLIT(G9,""/""),1,2) , ""N/A"" )
))
"),0.9333333333333333)</f>
        <v>0.9333333333</v>
      </c>
      <c r="I9" s="20" t="s">
        <v>75</v>
      </c>
      <c r="J9" s="21">
        <f>IFERROR(__xludf.DUMMYFUNCTION("IF(I9="""","""", IF(UPPER(I9)=""N/A"",""N/A"",
 IFERROR( INDEX(SPLIT(I9,""/""),1,1) / INDEX(SPLIT(I9,""/""),1,2) , ""N/A"" )
))
"),0.9333333333333333)</f>
        <v>0.9333333333</v>
      </c>
      <c r="K9" s="20" t="s">
        <v>21</v>
      </c>
      <c r="L9" s="21" t="str">
        <f>IFERROR(__xludf.DUMMYFUNCTION("IF(K9="""","""", IF(UPPER(K9)=""N/A"",""N/A"",
 IFERROR( INDEX(SPLIT(K9,""/""),1,1) / INDEX(SPLIT(K9,""/""),1,2) , ""N/A"" )
))
"),"N/A")</f>
        <v>N/A</v>
      </c>
      <c r="M9" s="20" t="s">
        <v>78</v>
      </c>
      <c r="N9" s="21">
        <f>IFERROR(__xludf.DUMMYFUNCTION("IF(M9="""","""", IF(UPPER(M9)=""N/A"",""N/A"",
 IFERROR( INDEX(SPLIT(M9,""/""),1,1) / INDEX(SPLIT(M9,""/""),1,2) , ""N/A"" )
))
"),0.9210526315789473)</f>
        <v>0.9210526316</v>
      </c>
      <c r="O9" s="20" t="s">
        <v>75</v>
      </c>
      <c r="P9" s="21">
        <f>IFERROR(__xludf.DUMMYFUNCTION("IF(O9="""","""", IF(UPPER(O9)=""N/A"",""N/A"",
 IFERROR( INDEX(SPLIT(O9,""/""),1,1) / INDEX(SPLIT(O9,""/""),1,2) , ""N/A"" )
))
"),0.9333333333333333)</f>
        <v>0.9333333333</v>
      </c>
      <c r="Q9" s="20" t="s">
        <v>70</v>
      </c>
      <c r="R9" s="21">
        <f>IFERROR(__xludf.DUMMYFUNCTION("IF(Q9="""","""", IF(UPPER(Q9)=""N/A"",""N/A"",
 IFERROR( INDEX(SPLIT(Q9,""/""),1,1) / INDEX(SPLIT(Q9,""/""),1,2) , ""N/A"" )
))
"),0.8666666666666667)</f>
        <v>0.8666666667</v>
      </c>
      <c r="S9" s="20" t="s">
        <v>79</v>
      </c>
      <c r="T9" s="21">
        <f>IFERROR(__xludf.DUMMYFUNCTION("IF(S9="""","""", IF(UPPER(S9)=""N/A"",""N/A"",
 IFERROR( INDEX(SPLIT(S9,""/""),1,1) / INDEX(SPLIT(S9,""/""),1,2) , ""N/A"" )
))
"),0.7666666666666667)</f>
        <v>0.7666666667</v>
      </c>
      <c r="U9" s="20" t="s">
        <v>70</v>
      </c>
      <c r="V9" s="21">
        <f>IFERROR(__xludf.DUMMYFUNCTION("IF(U9="""","""", IF(UPPER(U9)=""N/A"",""N/A"",
 IFERROR( INDEX(SPLIT(U9,""/""),1,1) / INDEX(SPLIT(U9,""/""),1,2) , ""N/A"" )
))
"),0.8666666666666667)</f>
        <v>0.8666666667</v>
      </c>
      <c r="W9" s="20" t="s">
        <v>69</v>
      </c>
      <c r="X9" s="21">
        <f>IFERROR(__xludf.DUMMYFUNCTION("IF(W9="""","""", IF(UPPER(W9)=""N/A"",""N/A"",
 IFERROR( INDEX(SPLIT(W9,""/""),1,1) / INDEX(SPLIT(W9,""/""),1,2) , ""N/A"" )
))
"),0.9666666666666667)</f>
        <v>0.9666666667</v>
      </c>
      <c r="Y9" s="20" t="s">
        <v>73</v>
      </c>
      <c r="Z9" s="21">
        <f>IFERROR(__xludf.DUMMYFUNCTION("IF(Y9="""","""", IF(UPPER(Y9)=""N/A"",""N/A"",
 IFERROR( INDEX(SPLIT(Y9,""/""),1,1) / INDEX(SPLIT(Y9,""/""),1,2) , ""N/A"" )
))
"),1.0)</f>
        <v>1</v>
      </c>
    </row>
    <row r="10" ht="21.0" customHeight="1">
      <c r="A10" s="16"/>
      <c r="B10" s="24" t="s">
        <v>33</v>
      </c>
      <c r="C10" s="18" t="s">
        <v>19</v>
      </c>
      <c r="D10" s="18" t="s">
        <v>19</v>
      </c>
      <c r="E10" s="36">
        <v>9.0</v>
      </c>
      <c r="F10" s="19">
        <f t="shared" si="1"/>
        <v>0.8</v>
      </c>
      <c r="G10" s="20" t="s">
        <v>21</v>
      </c>
      <c r="H10" s="21" t="str">
        <f>IFERROR(__xludf.DUMMYFUNCTION("IF(G10="""","""", IF(UPPER(G10)=""N/A"",""N/A"",
 IFERROR( INDEX(SPLIT(G10,""/""),1,1) / INDEX(SPLIT(G10,""/""),1,2) , ""N/A"" )
))
"),"N/A")</f>
        <v>N/A</v>
      </c>
      <c r="I10" s="20" t="s">
        <v>79</v>
      </c>
      <c r="J10" s="21">
        <f>IFERROR(__xludf.DUMMYFUNCTION("IF(I10="""","""", IF(UPPER(I10)=""N/A"",""N/A"",
 IFERROR( INDEX(SPLIT(I10,""/""),1,1) / INDEX(SPLIT(I10,""/""),1,2) , ""N/A"" )
))
"),0.7666666666666667)</f>
        <v>0.7666666667</v>
      </c>
      <c r="K10" s="27"/>
      <c r="L10" s="27"/>
      <c r="M10" s="27"/>
      <c r="N10" s="27"/>
      <c r="O10" s="27"/>
      <c r="P10" s="27"/>
      <c r="Q10" s="27"/>
      <c r="R10" s="28"/>
      <c r="S10" s="20" t="s">
        <v>75</v>
      </c>
      <c r="T10" s="21">
        <f>IFERROR(__xludf.DUMMYFUNCTION("IF(S10="""","""", IF(UPPER(S10)=""N/A"",""N/A"",
 IFERROR( INDEX(SPLIT(S10,""/""),1,1) / INDEX(SPLIT(S10,""/""),1,2) , ""N/A"" )
))
"),0.9333333333333333)</f>
        <v>0.9333333333</v>
      </c>
      <c r="U10" s="20" t="s">
        <v>80</v>
      </c>
      <c r="V10" s="21">
        <f>IFERROR(__xludf.DUMMYFUNCTION("IF(U10="""","""", IF(UPPER(U10)=""N/A"",""N/A"",
 IFERROR( INDEX(SPLIT(U10,""/""),1,1) / INDEX(SPLIT(U10,""/""),1,2) , ""N/A"" )
))
"),0.7)</f>
        <v>0.7</v>
      </c>
      <c r="W10" s="27"/>
      <c r="X10" s="27"/>
      <c r="Y10" s="27"/>
      <c r="Z10" s="27"/>
    </row>
    <row r="11" ht="21.0" customHeight="1">
      <c r="A11" s="16"/>
      <c r="B11" s="24" t="s">
        <v>36</v>
      </c>
      <c r="C11" s="18" t="s">
        <v>19</v>
      </c>
      <c r="D11" s="18" t="s">
        <v>19</v>
      </c>
      <c r="E11" s="36">
        <v>10.0</v>
      </c>
      <c r="F11" s="19">
        <f t="shared" si="1"/>
        <v>0.9368421053</v>
      </c>
      <c r="G11" s="20" t="s">
        <v>73</v>
      </c>
      <c r="H11" s="21">
        <f>IFERROR(__xludf.DUMMYFUNCTION("IF(G11="""","""", IF(UPPER(G11)=""N/A"",""N/A"",
 IFERROR( INDEX(SPLIT(G11,""/""),1,1) / INDEX(SPLIT(G11,""/""),1,2) , ""N/A"" )
))
"),1.0)</f>
        <v>1</v>
      </c>
      <c r="I11" s="20" t="s">
        <v>75</v>
      </c>
      <c r="J11" s="21">
        <f>IFERROR(__xludf.DUMMYFUNCTION("IF(I11="""","""", IF(UPPER(I11)=""N/A"",""N/A"",
 IFERROR( INDEX(SPLIT(I11,""/""),1,1) / INDEX(SPLIT(I11,""/""),1,2) , ""N/A"" )
))
"),0.9333333333333333)</f>
        <v>0.9333333333</v>
      </c>
      <c r="K11" s="20" t="s">
        <v>75</v>
      </c>
      <c r="L11" s="21">
        <f>IFERROR(__xludf.DUMMYFUNCTION("IF(K11="""","""", IF(UPPER(K11)=""N/A"",""N/A"",
 IFERROR( INDEX(SPLIT(K11,""/""),1,1) / INDEX(SPLIT(K11,""/""),1,2) , ""N/A"" )
))
"),0.9333333333333333)</f>
        <v>0.9333333333</v>
      </c>
      <c r="M11" s="20" t="s">
        <v>72</v>
      </c>
      <c r="N11" s="21">
        <f>IFERROR(__xludf.DUMMYFUNCTION("IF(M11="""","""", IF(UPPER(M11)=""N/A"",""N/A"",
 IFERROR( INDEX(SPLIT(M11,""/""),1,1) / INDEX(SPLIT(M11,""/""),1,2) , ""N/A"" )
))
"),0.8947368421052632)</f>
        <v>0.8947368421</v>
      </c>
      <c r="O11" s="22">
        <v>46006.0</v>
      </c>
      <c r="P11" s="21">
        <f>IFERROR(__xludf.DUMMYFUNCTION("IF(O11="""","""", IF(UPPER(O11)=""N/A"",""N/A"",
 IFERROR( INDEX(SPLIT(O11,""/""),1,1) / INDEX(SPLIT(O11,""/""),1,2) , ""N/A"" )
))
"),0.8)</f>
        <v>0.8</v>
      </c>
      <c r="Q11" s="20" t="s">
        <v>21</v>
      </c>
      <c r="R11" s="21" t="str">
        <f>IFERROR(__xludf.DUMMYFUNCTION("IF(Q11="""","""", IF(UPPER(Q11)=""N/A"",""N/A"",
 IFERROR( INDEX(SPLIT(Q11,""/""),1,1) / INDEX(SPLIT(Q11,""/""),1,2) , ""N/A"" )
))
"),"N/A")</f>
        <v>N/A</v>
      </c>
      <c r="S11" s="20" t="s">
        <v>73</v>
      </c>
      <c r="T11" s="21">
        <f>IFERROR(__xludf.DUMMYFUNCTION("IF(S11="""","""", IF(UPPER(S11)=""N/A"",""N/A"",
 IFERROR( INDEX(SPLIT(S11,""/""),1,1) / INDEX(SPLIT(S11,""/""),1,2) , ""N/A"" )
))
"),1.0)</f>
        <v>1</v>
      </c>
      <c r="U11" s="20" t="s">
        <v>75</v>
      </c>
      <c r="V11" s="21">
        <f>IFERROR(__xludf.DUMMYFUNCTION("IF(U11="""","""", IF(UPPER(U11)=""N/A"",""N/A"",
 IFERROR( INDEX(SPLIT(U11,""/""),1,1) / INDEX(SPLIT(U11,""/""),1,2) , ""N/A"" )
))
"),0.9333333333333333)</f>
        <v>0.9333333333</v>
      </c>
      <c r="W11" s="20" t="s">
        <v>73</v>
      </c>
      <c r="X11" s="21">
        <f>IFERROR(__xludf.DUMMYFUNCTION("IF(W11="""","""", IF(UPPER(W11)=""N/A"",""N/A"",
 IFERROR( INDEX(SPLIT(W11,""/""),1,1) / INDEX(SPLIT(W11,""/""),1,2) , ""N/A"" )
))
"),1.0)</f>
        <v>1</v>
      </c>
      <c r="Y11" s="20" t="s">
        <v>21</v>
      </c>
      <c r="Z11" s="21" t="str">
        <f>IFERROR(__xludf.DUMMYFUNCTION("IF(Y11="""","""", IF(UPPER(Y11)=""N/A"",""N/A"",
 IFERROR( INDEX(SPLIT(Y11,""/""),1,1) / INDEX(SPLIT(Y11,""/""),1,2) , ""N/A"" )
))
"),"N/A")</f>
        <v>N/A</v>
      </c>
    </row>
    <row r="12" ht="21.0" customHeight="1">
      <c r="A12" s="16"/>
      <c r="B12" s="17" t="s">
        <v>37</v>
      </c>
      <c r="C12" s="18" t="s">
        <v>19</v>
      </c>
      <c r="D12" s="18" t="s">
        <v>19</v>
      </c>
      <c r="E12" s="36">
        <v>9.0</v>
      </c>
      <c r="F12" s="19">
        <f t="shared" si="1"/>
        <v>0.9407017544</v>
      </c>
      <c r="G12" s="20" t="s">
        <v>74</v>
      </c>
      <c r="H12" s="21">
        <f>IFERROR(__xludf.DUMMYFUNCTION("IF(G12="""","""", IF(UPPER(G12)=""N/A"",""N/A"",
 IFERROR( INDEX(SPLIT(G12,""/""),1,1) / INDEX(SPLIT(G12,""/""),1,2) , ""N/A"" )
))
"),0.9)</f>
        <v>0.9</v>
      </c>
      <c r="I12" s="20" t="s">
        <v>73</v>
      </c>
      <c r="J12" s="21">
        <f>IFERROR(__xludf.DUMMYFUNCTION("IF(I12="""","""", IF(UPPER(I12)=""N/A"",""N/A"",
 IFERROR( INDEX(SPLIT(I12,""/""),1,1) / INDEX(SPLIT(I12,""/""),1,2) , ""N/A"" )
))
"),1.0)</f>
        <v>1</v>
      </c>
      <c r="K12" s="20" t="s">
        <v>70</v>
      </c>
      <c r="L12" s="21">
        <f>IFERROR(__xludf.DUMMYFUNCTION("IF(K12="""","""", IF(UPPER(K12)=""N/A"",""N/A"",
 IFERROR( INDEX(SPLIT(K12,""/""),1,1) / INDEX(SPLIT(K12,""/""),1,2) , ""N/A"" )
))
"),0.8666666666666667)</f>
        <v>0.8666666667</v>
      </c>
      <c r="M12" s="20" t="s">
        <v>81</v>
      </c>
      <c r="N12" s="21">
        <f>IFERROR(__xludf.DUMMYFUNCTION("IF(M12="""","""", IF(UPPER(M12)=""N/A"",""N/A"",
 IFERROR( INDEX(SPLIT(M12,""/""),1,1) / INDEX(SPLIT(M12,""/""),1,2) , ""N/A"" )
))
"),0.9736842105263158)</f>
        <v>0.9736842105</v>
      </c>
      <c r="O12" s="20" t="s">
        <v>73</v>
      </c>
      <c r="P12" s="21">
        <f>IFERROR(__xludf.DUMMYFUNCTION("IF(O12="""","""", IF(UPPER(O12)=""N/A"",""N/A"",
 IFERROR( INDEX(SPLIT(O12,""/""),1,1) / INDEX(SPLIT(O12,""/""),1,2) , ""N/A"" )
))
"),1.0)</f>
        <v>1</v>
      </c>
      <c r="Q12" s="20" t="s">
        <v>79</v>
      </c>
      <c r="R12" s="21">
        <f>IFERROR(__xludf.DUMMYFUNCTION("IF(Q12="""","""", IF(UPPER(Q12)=""N/A"",""N/A"",
 IFERROR( INDEX(SPLIT(Q12,""/""),1,1) / INDEX(SPLIT(Q12,""/""),1,2) , ""N/A"" )
))
"),0.7666666666666667)</f>
        <v>0.7666666667</v>
      </c>
      <c r="S12" s="20" t="s">
        <v>69</v>
      </c>
      <c r="T12" s="21">
        <f>IFERROR(__xludf.DUMMYFUNCTION("IF(S12="""","""", IF(UPPER(S12)=""N/A"",""N/A"",
 IFERROR( INDEX(SPLIT(S12,""/""),1,1) / INDEX(SPLIT(S12,""/""),1,2) , ""N/A"" )
))
"),0.9666666666666667)</f>
        <v>0.9666666667</v>
      </c>
      <c r="U12" s="20" t="s">
        <v>73</v>
      </c>
      <c r="V12" s="21">
        <f>IFERROR(__xludf.DUMMYFUNCTION("IF(U12="""","""", IF(UPPER(U12)=""N/A"",""N/A"",
 IFERROR( INDEX(SPLIT(U12,""/""),1,1) / INDEX(SPLIT(U12,""/""),1,2) , ""N/A"" )
))
"),1.0)</f>
        <v>1</v>
      </c>
      <c r="W12" s="20" t="s">
        <v>75</v>
      </c>
      <c r="X12" s="21">
        <f>IFERROR(__xludf.DUMMYFUNCTION("IF(W12="""","""", IF(UPPER(W12)=""N/A"",""N/A"",
 IFERROR( INDEX(SPLIT(W12,""/""),1,1) / INDEX(SPLIT(W12,""/""),1,2) , ""N/A"" )
))
"),0.9333333333333333)</f>
        <v>0.9333333333</v>
      </c>
      <c r="Y12" s="20" t="s">
        <v>73</v>
      </c>
      <c r="Z12" s="21">
        <f>IFERROR(__xludf.DUMMYFUNCTION("IF(Y12="""","""", IF(UPPER(Y12)=""N/A"",""N/A"",
 IFERROR( INDEX(SPLIT(Y12,""/""),1,1) / INDEX(SPLIT(Y12,""/""),1,2) , ""N/A"" )
))
"),1.0)</f>
        <v>1</v>
      </c>
    </row>
    <row r="13" ht="21.0" customHeight="1">
      <c r="A13" s="16"/>
      <c r="B13" s="17" t="s">
        <v>39</v>
      </c>
      <c r="C13" s="18" t="s">
        <v>19</v>
      </c>
      <c r="D13" s="18" t="s">
        <v>19</v>
      </c>
      <c r="E13" s="26">
        <v>9.0</v>
      </c>
      <c r="F13" s="19">
        <f t="shared" si="1"/>
        <v>0.9268421053</v>
      </c>
      <c r="G13" s="20" t="s">
        <v>70</v>
      </c>
      <c r="H13" s="21">
        <f>IFERROR(__xludf.DUMMYFUNCTION("IF(G13="""","""", IF(UPPER(G13)=""N/A"",""N/A"",
 IFERROR( INDEX(SPLIT(G13,""/""),1,1) / INDEX(SPLIT(G13,""/""),1,2) , ""N/A"" )
))
"),0.8666666666666667)</f>
        <v>0.8666666667</v>
      </c>
      <c r="I13" s="20" t="s">
        <v>75</v>
      </c>
      <c r="J13" s="21">
        <f>IFERROR(__xludf.DUMMYFUNCTION("IF(I13="""","""", IF(UPPER(I13)=""N/A"",""N/A"",
 IFERROR( INDEX(SPLIT(I13,""/""),1,1) / INDEX(SPLIT(I13,""/""),1,2) , ""N/A"" )
))
"),0.9333333333333333)</f>
        <v>0.9333333333</v>
      </c>
      <c r="K13" s="20" t="s">
        <v>73</v>
      </c>
      <c r="L13" s="21">
        <f>IFERROR(__xludf.DUMMYFUNCTION("IF(K13="""","""", IF(UPPER(K13)=""N/A"",""N/A"",
 IFERROR( INDEX(SPLIT(K13,""/""),1,1) / INDEX(SPLIT(K13,""/""),1,2) , ""N/A"" )
))
"),1.0)</f>
        <v>1</v>
      </c>
      <c r="M13" s="20" t="s">
        <v>82</v>
      </c>
      <c r="N13" s="21">
        <f>IFERROR(__xludf.DUMMYFUNCTION("IF(M13="""","""", IF(UPPER(M13)=""N/A"",""N/A"",
 IFERROR( INDEX(SPLIT(M13,""/""),1,1) / INDEX(SPLIT(M13,""/""),1,2) , ""N/A"" )
))
"),0.868421052631579)</f>
        <v>0.8684210526</v>
      </c>
      <c r="O13" s="20" t="s">
        <v>70</v>
      </c>
      <c r="P13" s="21">
        <f>IFERROR(__xludf.DUMMYFUNCTION("IF(O13="""","""", IF(UPPER(O13)=""N/A"",""N/A"",
 IFERROR( INDEX(SPLIT(O13,""/""),1,1) / INDEX(SPLIT(O13,""/""),1,2) , ""N/A"" )
))
"),0.8666666666666667)</f>
        <v>0.8666666667</v>
      </c>
      <c r="Q13" s="20" t="s">
        <v>73</v>
      </c>
      <c r="R13" s="21">
        <f>IFERROR(__xludf.DUMMYFUNCTION("IF(Q13="""","""", IF(UPPER(Q13)=""N/A"",""N/A"",
 IFERROR( INDEX(SPLIT(Q13,""/""),1,1) / INDEX(SPLIT(Q13,""/""),1,2) , ""N/A"" )
))
"),1.0)</f>
        <v>1</v>
      </c>
      <c r="S13" s="20" t="s">
        <v>73</v>
      </c>
      <c r="T13" s="21">
        <f>IFERROR(__xludf.DUMMYFUNCTION("IF(S13="""","""", IF(UPPER(S13)=""N/A"",""N/A"",
 IFERROR( INDEX(SPLIT(S13,""/""),1,1) / INDEX(SPLIT(S13,""/""),1,2) , ""N/A"" )
))
"),1.0)</f>
        <v>1</v>
      </c>
      <c r="U13" s="20" t="s">
        <v>73</v>
      </c>
      <c r="V13" s="21">
        <f>IFERROR(__xludf.DUMMYFUNCTION("IF(U13="""","""", IF(UPPER(U13)=""N/A"",""N/A"",
 IFERROR( INDEX(SPLIT(U13,""/""),1,1) / INDEX(SPLIT(U13,""/""),1,2) , ""N/A"" )
))
"),1.0)</f>
        <v>1</v>
      </c>
      <c r="W13" s="22">
        <v>46006.0</v>
      </c>
      <c r="X13" s="21">
        <f>IFERROR(__xludf.DUMMYFUNCTION("IF(W13="""","""", IF(UPPER(W13)=""N/A"",""N/A"",
 IFERROR( INDEX(SPLIT(W13,""/""),1,1) / INDEX(SPLIT(W13,""/""),1,2) , ""N/A"" )
))
"),0.8)</f>
        <v>0.8</v>
      </c>
      <c r="Y13" s="20" t="s">
        <v>75</v>
      </c>
      <c r="Z13" s="21">
        <f>IFERROR(__xludf.DUMMYFUNCTION("IF(Y13="""","""", IF(UPPER(Y13)=""N/A"",""N/A"",
 IFERROR( INDEX(SPLIT(Y13,""/""),1,1) / INDEX(SPLIT(Y13,""/""),1,2) , ""N/A"" )
))
"),0.9333333333333333)</f>
        <v>0.9333333333</v>
      </c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1"/>
      <c r="V14" s="30"/>
      <c r="W14" s="30"/>
      <c r="X14" s="30"/>
      <c r="Y14" s="34"/>
      <c r="Z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1"/>
      <c r="V15" s="30"/>
      <c r="W15" s="30"/>
      <c r="X15" s="30"/>
      <c r="Y15" s="30"/>
      <c r="Z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1"/>
      <c r="V16" s="30"/>
      <c r="W16" s="30"/>
      <c r="X16" s="30"/>
      <c r="Y16" s="30"/>
      <c r="Z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</sheetData>
  <mergeCells count="38">
    <mergeCell ref="O2:P2"/>
    <mergeCell ref="Q2:R2"/>
    <mergeCell ref="S2:T2"/>
    <mergeCell ref="U2:V2"/>
    <mergeCell ref="W2:X2"/>
    <mergeCell ref="Y2:Z2"/>
    <mergeCell ref="A1:E1"/>
    <mergeCell ref="Q1:R1"/>
    <mergeCell ref="A2:E2"/>
    <mergeCell ref="G2:H2"/>
    <mergeCell ref="I2:J2"/>
    <mergeCell ref="K2:L2"/>
    <mergeCell ref="M2:N2"/>
    <mergeCell ref="A3:A4"/>
    <mergeCell ref="B3:B4"/>
    <mergeCell ref="C3:C4"/>
    <mergeCell ref="D3:E4"/>
    <mergeCell ref="G3:G4"/>
    <mergeCell ref="H3:H4"/>
    <mergeCell ref="I3:I4"/>
    <mergeCell ref="F3:F4"/>
    <mergeCell ref="J3:J4"/>
    <mergeCell ref="K3:K4"/>
    <mergeCell ref="L3:L4"/>
    <mergeCell ref="M3:M4"/>
    <mergeCell ref="N3:N4"/>
    <mergeCell ref="O3:O4"/>
    <mergeCell ref="P3:P4"/>
    <mergeCell ref="X3:X4"/>
    <mergeCell ref="Y3:Y4"/>
    <mergeCell ref="Z3:Z4"/>
    <mergeCell ref="Q3:Q4"/>
    <mergeCell ref="R3:R4"/>
    <mergeCell ref="S3:S4"/>
    <mergeCell ref="T3:T4"/>
    <mergeCell ref="U3:U4"/>
    <mergeCell ref="V3:V4"/>
    <mergeCell ref="W3:W4"/>
  </mergeCells>
  <drawing r:id="rId1"/>
</worksheet>
</file>